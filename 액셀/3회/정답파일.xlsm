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아이티버팀목\Desktop\컴활1급실기 예제(작업중)\컴활1급실기 예제-21년 강의실용2\1-2016버전 엑셀\3-출제유형분석3회\"/>
    </mc:Choice>
  </mc:AlternateContent>
  <bookViews>
    <workbookView showVerticalScroll="0" xWindow="600" yWindow="60" windowWidth="8685" windowHeight="5115" tabRatio="471"/>
  </bookViews>
  <sheets>
    <sheet name="기본작업-1" sheetId="2" r:id="rId1"/>
    <sheet name="계산작업" sheetId="3" r:id="rId2"/>
    <sheet name="분석작업-1" sheetId="10" r:id="rId3"/>
    <sheet name="분석작업-2" sheetId="11" r:id="rId4"/>
    <sheet name="차트작성" sheetId="9" r:id="rId5"/>
    <sheet name="기타작업-1" sheetId="6" r:id="rId6"/>
    <sheet name="기타작업-2" sheetId="13" r:id="rId7"/>
    <sheet name="기타작업-3" sheetId="8" r:id="rId8"/>
  </sheets>
  <functionGroups builtInGroupCount="18"/>
  <definedNames>
    <definedName name="_xlnm._FilterDatabase" localSheetId="1" hidden="1">계산작업!$B$2:$J$32</definedName>
    <definedName name="_xlnm._FilterDatabase" localSheetId="0" hidden="1">'기본작업-1'!$B$1:$I$27</definedName>
    <definedName name="_xlnm._FilterDatabase" localSheetId="6" hidden="1">'기타작업-2'!#REF!</definedName>
    <definedName name="_xlnm._FilterDatabase" localSheetId="3" hidden="1">'분석작업-2'!$G$3:$I$3</definedName>
    <definedName name="_xlnm.Criteria" localSheetId="0">'기본작업-1'!$B$30:$D$32</definedName>
    <definedName name="_xlnm.Extract" localSheetId="0">'기본작업-1'!$B$36:$I$36</definedName>
    <definedName name="_xlnm.Print_Area" localSheetId="0">'기본작업-1'!$B$1:$D$5</definedName>
  </definedNames>
  <calcPr calcId="162913"/>
  <pivotCaches>
    <pivotCache cacheId="0" r:id="rId9"/>
  </pivotCaches>
</workbook>
</file>

<file path=xl/calcChain.xml><?xml version="1.0" encoding="utf-8"?>
<calcChain xmlns="http://schemas.openxmlformats.org/spreadsheetml/2006/main">
  <c r="B9" i="13" l="1"/>
  <c r="E8" i="13" s="1"/>
  <c r="B10" i="13" l="1"/>
  <c r="H9" i="13"/>
  <c r="N31" i="3" l="1" a="1"/>
  <c r="N31" i="3" s="1"/>
  <c r="O25" i="3" a="1"/>
  <c r="O25" i="3" s="1"/>
  <c r="P25" i="3" a="1"/>
  <c r="P25" i="3" s="1"/>
  <c r="Q25" i="3" a="1"/>
  <c r="Q25" i="3" s="1"/>
  <c r="O26" i="3" a="1"/>
  <c r="O26" i="3" s="1"/>
  <c r="P26" i="3" a="1"/>
  <c r="P26" i="3" s="1"/>
  <c r="Q26" i="3" a="1"/>
  <c r="Q26" i="3" s="1"/>
  <c r="O27" i="3" a="1"/>
  <c r="O27" i="3" s="1"/>
  <c r="P27" i="3" a="1"/>
  <c r="P27" i="3" s="1"/>
  <c r="Q27" i="3" a="1"/>
  <c r="Q27" i="3" s="1"/>
  <c r="O28" i="3" a="1"/>
  <c r="O28" i="3" s="1"/>
  <c r="P28" i="3" a="1"/>
  <c r="P28" i="3" s="1"/>
  <c r="Q28" i="3" a="1"/>
  <c r="Q28" i="3" s="1"/>
  <c r="N26" i="3" a="1"/>
  <c r="N26" i="3" s="1"/>
  <c r="N27" i="3" a="1"/>
  <c r="N27" i="3" s="1"/>
  <c r="N28" i="3" a="1"/>
  <c r="N28" i="3" s="1"/>
  <c r="N25" i="3" a="1"/>
  <c r="N25" i="3" s="1"/>
  <c r="O8" i="3" a="1"/>
  <c r="O8" i="3" s="1"/>
  <c r="O9" i="3" a="1"/>
  <c r="O9" i="3" s="1"/>
  <c r="O10" i="3" a="1"/>
  <c r="O10" i="3" s="1"/>
  <c r="O11" i="3" a="1"/>
  <c r="O11" i="3" s="1"/>
  <c r="O12" i="3" a="1"/>
  <c r="O12" i="3" s="1"/>
  <c r="O13" i="3" a="1"/>
  <c r="O13" i="3" s="1"/>
  <c r="O14" i="3" a="1"/>
  <c r="O14" i="3" s="1"/>
  <c r="O15" i="3" a="1"/>
  <c r="O15" i="3" s="1"/>
  <c r="O16" i="3" a="1"/>
  <c r="O16" i="3" s="1"/>
  <c r="O17" i="3" a="1"/>
  <c r="O17" i="3" s="1"/>
  <c r="O7" i="3" a="1"/>
  <c r="O7" i="3" s="1"/>
  <c r="N8" i="3" a="1"/>
  <c r="N8" i="3" s="1"/>
  <c r="N9" i="3" a="1"/>
  <c r="N9" i="3" s="1"/>
  <c r="N10" i="3" a="1"/>
  <c r="N10" i="3" s="1"/>
  <c r="N11" i="3" a="1"/>
  <c r="N11" i="3" s="1"/>
  <c r="N12" i="3" a="1"/>
  <c r="N12" i="3" s="1"/>
  <c r="N13" i="3" a="1"/>
  <c r="N13" i="3" s="1"/>
  <c r="N14" i="3" a="1"/>
  <c r="N14" i="3" s="1"/>
  <c r="N15" i="3" a="1"/>
  <c r="N15" i="3" s="1"/>
  <c r="N16" i="3" a="1"/>
  <c r="N16" i="3" s="1"/>
  <c r="N17" i="3" a="1"/>
  <c r="N17" i="3" s="1"/>
  <c r="N7" i="3" a="1"/>
  <c r="N7" i="3" s="1"/>
  <c r="J4" i="3"/>
  <c r="J14" i="3"/>
  <c r="J26" i="3"/>
  <c r="J22" i="3"/>
  <c r="J15" i="3"/>
  <c r="J32" i="3"/>
  <c r="J17" i="3"/>
  <c r="J13" i="3"/>
  <c r="J20" i="3"/>
  <c r="J6" i="3"/>
  <c r="J31" i="3"/>
  <c r="J29" i="3"/>
  <c r="J23" i="3"/>
  <c r="J11" i="3"/>
  <c r="J25" i="3"/>
  <c r="J18" i="3"/>
  <c r="J27" i="3"/>
  <c r="J24" i="3"/>
  <c r="J3" i="3"/>
  <c r="J5" i="3"/>
  <c r="J8" i="3"/>
  <c r="J19" i="3"/>
  <c r="J16" i="3"/>
  <c r="J28" i="3"/>
  <c r="J7" i="3"/>
  <c r="J21" i="3"/>
  <c r="J12" i="3"/>
  <c r="J30" i="3"/>
  <c r="J9" i="3"/>
  <c r="J10" i="3"/>
  <c r="G44" i="3" l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" i="3"/>
  <c r="D38" i="3" l="1"/>
  <c r="E38" i="3"/>
  <c r="F38" i="3"/>
  <c r="C38" i="3"/>
  <c r="F31" i="2" l="1"/>
  <c r="G32" i="2"/>
  <c r="D32" i="2"/>
  <c r="C32" i="2"/>
  <c r="B31" i="2"/>
</calcChain>
</file>

<file path=xl/comments1.xml><?xml version="1.0" encoding="utf-8"?>
<comments xmlns="http://schemas.openxmlformats.org/spreadsheetml/2006/main">
  <authors>
    <author>Windows User</author>
  </authors>
  <commentList>
    <comment ref="F30" authorId="0" shapeId="0">
      <text>
        <r>
          <rPr>
            <b/>
            <sz val="9"/>
            <color indexed="81"/>
            <rFont val="Tahoma"/>
            <family val="2"/>
          </rPr>
          <t>value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맞습니다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<sst xmlns="http://schemas.openxmlformats.org/spreadsheetml/2006/main" count="740" uniqueCount="237">
  <si>
    <t>이나영</t>
  </si>
  <si>
    <t>접수코드</t>
  </si>
  <si>
    <t>등록일자</t>
  </si>
  <si>
    <t>이름</t>
  </si>
  <si>
    <t>학년</t>
  </si>
  <si>
    <t>과목</t>
  </si>
  <si>
    <t>담당강사</t>
  </si>
  <si>
    <t>수강료</t>
  </si>
  <si>
    <t>A200</t>
  </si>
  <si>
    <t>이윤혜</t>
  </si>
  <si>
    <t>영어</t>
  </si>
  <si>
    <t>김래원</t>
  </si>
  <si>
    <t>A300</t>
  </si>
  <si>
    <t>배애림</t>
  </si>
  <si>
    <t>김태희</t>
  </si>
  <si>
    <t>우주희</t>
  </si>
  <si>
    <t>진태화</t>
  </si>
  <si>
    <t>B100</t>
  </si>
  <si>
    <t>수학</t>
  </si>
  <si>
    <t>황원섭</t>
  </si>
  <si>
    <t>민경성</t>
  </si>
  <si>
    <t>C100</t>
  </si>
  <si>
    <t>김신애</t>
  </si>
  <si>
    <t>국사</t>
  </si>
  <si>
    <t>정솔희</t>
  </si>
  <si>
    <t>빅인환</t>
  </si>
  <si>
    <t>송지유</t>
  </si>
  <si>
    <t>장원길</t>
  </si>
  <si>
    <t>C200</t>
  </si>
  <si>
    <t>이창현</t>
  </si>
  <si>
    <t>고두심</t>
  </si>
  <si>
    <t>정발산</t>
  </si>
  <si>
    <t>C300</t>
  </si>
  <si>
    <t>강신희</t>
  </si>
  <si>
    <t>유인촌</t>
  </si>
  <si>
    <t>정수민</t>
  </si>
  <si>
    <t>D300</t>
  </si>
  <si>
    <t>강신일</t>
  </si>
  <si>
    <t>국어</t>
  </si>
  <si>
    <t>신동길</t>
  </si>
  <si>
    <t>수강가산점</t>
    <phoneticPr fontId="2" type="noConversion"/>
  </si>
  <si>
    <t>F200</t>
    <phoneticPr fontId="2" type="noConversion"/>
  </si>
  <si>
    <t>진선미</t>
    <phoneticPr fontId="2" type="noConversion"/>
  </si>
  <si>
    <t>물리2</t>
    <phoneticPr fontId="2" type="noConversion"/>
  </si>
  <si>
    <t>강성철</t>
    <phoneticPr fontId="2" type="noConversion"/>
  </si>
  <si>
    <t>G100</t>
    <phoneticPr fontId="2" type="noConversion"/>
  </si>
  <si>
    <t>최규진</t>
    <phoneticPr fontId="2" type="noConversion"/>
  </si>
  <si>
    <t>체육</t>
    <phoneticPr fontId="2" type="noConversion"/>
  </si>
  <si>
    <t>조동선</t>
    <phoneticPr fontId="2" type="noConversion"/>
  </si>
  <si>
    <t>강덕화</t>
    <phoneticPr fontId="2" type="noConversion"/>
  </si>
  <si>
    <t>정혜영</t>
    <phoneticPr fontId="2" type="noConversion"/>
  </si>
  <si>
    <t>백경진</t>
    <phoneticPr fontId="2" type="noConversion"/>
  </si>
  <si>
    <t>A090</t>
    <phoneticPr fontId="1" type="noConversion"/>
  </si>
  <si>
    <t>B080</t>
    <phoneticPr fontId="1" type="noConversion"/>
  </si>
  <si>
    <t>G060</t>
    <phoneticPr fontId="2" type="noConversion"/>
  </si>
  <si>
    <t>김수근</t>
  </si>
  <si>
    <t>이상민</t>
  </si>
  <si>
    <t>D100</t>
  </si>
  <si>
    <t>박준호</t>
  </si>
  <si>
    <t>강수정</t>
  </si>
  <si>
    <t>김호진</t>
  </si>
  <si>
    <t>여수현</t>
  </si>
  <si>
    <t>진달래</t>
  </si>
  <si>
    <t>우지연</t>
  </si>
  <si>
    <t>김민규</t>
  </si>
  <si>
    <t>D200</t>
  </si>
  <si>
    <t>송윤진</t>
  </si>
  <si>
    <t>노현정</t>
  </si>
  <si>
    <t>B300</t>
  </si>
  <si>
    <t>강병규</t>
  </si>
  <si>
    <t>이수철</t>
  </si>
  <si>
    <t>김대호</t>
  </si>
  <si>
    <t>조영상</t>
  </si>
  <si>
    <t>A100</t>
  </si>
  <si>
    <t>지상렬</t>
  </si>
  <si>
    <t>이정진</t>
  </si>
  <si>
    <t>김준수</t>
  </si>
  <si>
    <t>정윤호</t>
  </si>
  <si>
    <t>접수코드</t>
    <phoneticPr fontId="2" type="noConversion"/>
  </si>
  <si>
    <t>이름</t>
    <phoneticPr fontId="2" type="noConversion"/>
  </si>
  <si>
    <t>학년</t>
    <phoneticPr fontId="2" type="noConversion"/>
  </si>
  <si>
    <t>과목</t>
    <phoneticPr fontId="2" type="noConversion"/>
  </si>
  <si>
    <t>수강료</t>
    <phoneticPr fontId="2" type="noConversion"/>
  </si>
  <si>
    <t>&lt;표1&gt;</t>
    <phoneticPr fontId="1" type="noConversion"/>
  </si>
  <si>
    <t>국어</t>
    <phoneticPr fontId="2" type="noConversion"/>
  </si>
  <si>
    <t>국사</t>
    <phoneticPr fontId="2" type="noConversion"/>
  </si>
  <si>
    <t>영어</t>
    <phoneticPr fontId="2" type="noConversion"/>
  </si>
  <si>
    <t>수학</t>
    <phoneticPr fontId="2" type="noConversion"/>
  </si>
  <si>
    <t>&lt;표2&gt;</t>
    <phoneticPr fontId="1" type="noConversion"/>
  </si>
  <si>
    <t>접수번호</t>
    <phoneticPr fontId="2" type="noConversion"/>
  </si>
  <si>
    <t>국어</t>
    <phoneticPr fontId="1" type="noConversion"/>
  </si>
  <si>
    <t>국사</t>
    <phoneticPr fontId="1" type="noConversion"/>
  </si>
  <si>
    <t>영어</t>
    <phoneticPr fontId="1" type="noConversion"/>
  </si>
  <si>
    <t>수학</t>
    <phoneticPr fontId="1" type="noConversion"/>
  </si>
  <si>
    <t xml:space="preserve">       등록순서
과목</t>
    <phoneticPr fontId="1" type="noConversion"/>
  </si>
  <si>
    <t>할인액</t>
    <phoneticPr fontId="1" type="noConversion"/>
  </si>
  <si>
    <t>&lt;표3&gt; 등록순서별, 과목별 할인률</t>
    <phoneticPr fontId="1" type="noConversion"/>
  </si>
  <si>
    <t>인원수</t>
    <phoneticPr fontId="1" type="noConversion"/>
  </si>
  <si>
    <t>A100</t>
    <phoneticPr fontId="2" type="noConversion"/>
  </si>
  <si>
    <t>A200</t>
    <phoneticPr fontId="2" type="noConversion"/>
  </si>
  <si>
    <t>B100</t>
    <phoneticPr fontId="2" type="noConversion"/>
  </si>
  <si>
    <t>C200</t>
    <phoneticPr fontId="2" type="noConversion"/>
  </si>
  <si>
    <t>C300</t>
    <phoneticPr fontId="2" type="noConversion"/>
  </si>
  <si>
    <t>D100</t>
    <phoneticPr fontId="2" type="noConversion"/>
  </si>
  <si>
    <t>D200</t>
    <phoneticPr fontId="2" type="noConversion"/>
  </si>
  <si>
    <t>D300</t>
    <phoneticPr fontId="2" type="noConversion"/>
  </si>
  <si>
    <t>[표4]</t>
    <phoneticPr fontId="1" type="noConversion"/>
  </si>
  <si>
    <t>접수코드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</si>
  <si>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</si>
  <si>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</si>
  <si>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</si>
  <si>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</si>
  <si>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[표5]</t>
    <phoneticPr fontId="1" type="noConversion"/>
  </si>
  <si>
    <t>점수</t>
    <phoneticPr fontId="2" type="noConversion"/>
  </si>
  <si>
    <t>등급</t>
    <phoneticPr fontId="1" type="noConversion"/>
  </si>
  <si>
    <t>접수번호</t>
  </si>
  <si>
    <t>F300</t>
  </si>
  <si>
    <t>김기은</t>
  </si>
  <si>
    <t>물리2</t>
  </si>
  <si>
    <t>강성철</t>
  </si>
  <si>
    <t>이주현</t>
  </si>
  <si>
    <t>E100</t>
  </si>
  <si>
    <t>전수연</t>
  </si>
  <si>
    <t>미술</t>
  </si>
  <si>
    <t>천경미</t>
  </si>
  <si>
    <t>라유미</t>
  </si>
  <si>
    <t>박현덕</t>
  </si>
  <si>
    <t xml:space="preserve">미술 </t>
  </si>
  <si>
    <t>F100</t>
  </si>
  <si>
    <t>김창성</t>
  </si>
  <si>
    <t>물리1</t>
  </si>
  <si>
    <t>임연수</t>
  </si>
  <si>
    <t>F200</t>
  </si>
  <si>
    <t>강현주</t>
  </si>
  <si>
    <t>G100</t>
  </si>
  <si>
    <t>지미현</t>
  </si>
  <si>
    <t>체육</t>
  </si>
  <si>
    <t>조동선</t>
  </si>
  <si>
    <t>성경신</t>
  </si>
  <si>
    <t>김하늘</t>
  </si>
  <si>
    <t>서승민</t>
  </si>
  <si>
    <t>최규진</t>
  </si>
  <si>
    <t>진선미</t>
  </si>
  <si>
    <t>강덕화</t>
  </si>
  <si>
    <t>정혜영</t>
  </si>
  <si>
    <t>백경진</t>
  </si>
  <si>
    <t>월 불입금액</t>
  </si>
  <si>
    <t>월 불입금액</t>
    <phoneticPr fontId="2" type="noConversion"/>
  </si>
  <si>
    <t>목표금액</t>
    <phoneticPr fontId="2" type="noConversion"/>
  </si>
  <si>
    <r>
      <t>(연</t>
    </r>
    <r>
      <rPr>
        <sz val="11"/>
        <color theme="1"/>
        <rFont val="맑은 고딕"/>
        <family val="3"/>
        <charset val="129"/>
        <scheme val="minor"/>
      </rPr>
      <t>)이자율</t>
    </r>
    <phoneticPr fontId="2" type="noConversion"/>
  </si>
  <si>
    <t>납부총액</t>
    <phoneticPr fontId="2" type="noConversion"/>
  </si>
  <si>
    <t>목표년수</t>
    <phoneticPr fontId="2" type="noConversion"/>
  </si>
  <si>
    <t>조예슬</t>
  </si>
  <si>
    <t>고전</t>
    <phoneticPr fontId="2" type="noConversion"/>
  </si>
  <si>
    <t>김솔유</t>
    <phoneticPr fontId="2" type="noConversion"/>
  </si>
  <si>
    <t>박두심</t>
    <phoneticPr fontId="2" type="noConversion"/>
  </si>
  <si>
    <t>B200</t>
    <phoneticPr fontId="2" type="noConversion"/>
  </si>
  <si>
    <t>현대사</t>
    <phoneticPr fontId="2" type="noConversion"/>
  </si>
  <si>
    <t>최현정</t>
    <phoneticPr fontId="2" type="noConversion"/>
  </si>
  <si>
    <t>C100</t>
    <phoneticPr fontId="2" type="noConversion"/>
  </si>
  <si>
    <t>영어</t>
    <phoneticPr fontId="2" type="noConversion"/>
  </si>
  <si>
    <t>C200</t>
    <phoneticPr fontId="2" type="noConversion"/>
  </si>
  <si>
    <t>문법</t>
    <phoneticPr fontId="2" type="noConversion"/>
  </si>
  <si>
    <t>박종훈</t>
    <phoneticPr fontId="2" type="noConversion"/>
  </si>
  <si>
    <t>D100</t>
    <phoneticPr fontId="2" type="noConversion"/>
  </si>
  <si>
    <t>수학</t>
    <phoneticPr fontId="2" type="noConversion"/>
  </si>
  <si>
    <t>정솔희</t>
    <phoneticPr fontId="2" type="noConversion"/>
  </si>
  <si>
    <t>D200</t>
    <phoneticPr fontId="2" type="noConversion"/>
  </si>
  <si>
    <t>과탐</t>
    <phoneticPr fontId="2" type="noConversion"/>
  </si>
  <si>
    <t>김태수</t>
    <phoneticPr fontId="2" type="noConversion"/>
  </si>
  <si>
    <t>E300</t>
    <phoneticPr fontId="2" type="noConversion"/>
  </si>
  <si>
    <t>사탐</t>
    <phoneticPr fontId="2" type="noConversion"/>
  </si>
  <si>
    <t>유인경</t>
    <phoneticPr fontId="2" type="noConversion"/>
  </si>
  <si>
    <t>[표1]</t>
    <phoneticPr fontId="2" type="noConversion"/>
  </si>
  <si>
    <t>접수자</t>
    <phoneticPr fontId="2" type="noConversion"/>
  </si>
  <si>
    <t>수강개월</t>
    <phoneticPr fontId="2" type="noConversion"/>
  </si>
  <si>
    <t>접수코드</t>
    <phoneticPr fontId="2" type="noConversion"/>
  </si>
  <si>
    <t>과목강사</t>
    <phoneticPr fontId="2" type="noConversion"/>
  </si>
  <si>
    <t>[참조표]</t>
    <phoneticPr fontId="2" type="noConversion"/>
  </si>
  <si>
    <t>과목</t>
    <phoneticPr fontId="2" type="noConversion"/>
  </si>
  <si>
    <t>월수강료</t>
    <phoneticPr fontId="2" type="noConversion"/>
  </si>
  <si>
    <t>국어</t>
    <phoneticPr fontId="2" type="noConversion"/>
  </si>
  <si>
    <t>월수강료</t>
    <phoneticPr fontId="1" type="noConversion"/>
  </si>
  <si>
    <t>수강료</t>
    <phoneticPr fontId="1" type="noConversion"/>
  </si>
  <si>
    <t>조건1</t>
    <phoneticPr fontId="1" type="noConversion"/>
  </si>
  <si>
    <t>조건2</t>
    <phoneticPr fontId="1" type="noConversion"/>
  </si>
  <si>
    <t>조건3</t>
    <phoneticPr fontId="1" type="noConversion"/>
  </si>
  <si>
    <t>조건2의 다른 해석</t>
    <phoneticPr fontId="1" type="noConversion"/>
  </si>
  <si>
    <t>조건1다른해석</t>
    <phoneticPr fontId="1" type="noConversion"/>
  </si>
  <si>
    <t>left, right, mid 같은 문자열 함수에 의해 추출된 값은 숫자로 바꾸어 비교하던지 비교값에 ""를 주어서 비교해야 함</t>
    <phoneticPr fontId="1" type="noConversion"/>
  </si>
  <si>
    <t>평균</t>
    <phoneticPr fontId="2" type="noConversion"/>
  </si>
  <si>
    <t>할인액 다른 풀이</t>
    <phoneticPr fontId="1" type="noConversion"/>
  </si>
  <si>
    <t>* 실전에선 이처럼 다른 곳에 풀이를 또 적어선 안됩니다.</t>
    <phoneticPr fontId="1" type="noConversion"/>
  </si>
  <si>
    <t>(다른 풀이)</t>
    <phoneticPr fontId="1" type="noConversion"/>
  </si>
  <si>
    <t>*COUNT, AVERAGE는 IF가 있어야만 배열수식으로 풀이가 가능</t>
    <phoneticPr fontId="1" type="noConversion"/>
  </si>
  <si>
    <t>만약 if가 추가된 유형이었다면….</t>
    <phoneticPr fontId="1" type="noConversion"/>
  </si>
  <si>
    <t>행 레이블</t>
  </si>
  <si>
    <t>총합계</t>
  </si>
  <si>
    <t>열 레이블</t>
  </si>
  <si>
    <t>6월</t>
  </si>
  <si>
    <t>7월</t>
  </si>
  <si>
    <t>예상액</t>
  </si>
  <si>
    <t>강사비 지출내역</t>
    <phoneticPr fontId="2" type="noConversion"/>
  </si>
  <si>
    <t>[표1]</t>
    <phoneticPr fontId="2" type="noConversion"/>
  </si>
  <si>
    <t>과목명</t>
    <phoneticPr fontId="2" type="noConversion"/>
  </si>
  <si>
    <t>1학년</t>
    <phoneticPr fontId="2" type="noConversion"/>
  </si>
  <si>
    <t>2학년</t>
    <phoneticPr fontId="2" type="noConversion"/>
  </si>
  <si>
    <t>3학년</t>
    <phoneticPr fontId="2" type="noConversion"/>
  </si>
  <si>
    <t>국사</t>
    <phoneticPr fontId="2" type="noConversion"/>
  </si>
  <si>
    <t>국어</t>
    <phoneticPr fontId="2" type="noConversion"/>
  </si>
  <si>
    <t>수학</t>
    <phoneticPr fontId="2" type="noConversion"/>
  </si>
  <si>
    <t>영어</t>
    <phoneticPr fontId="2" type="noConversion"/>
  </si>
  <si>
    <t>&lt;표1&gt; 김포 대리점 판매현황</t>
    <phoneticPr fontId="1" type="noConversion"/>
  </si>
  <si>
    <t>&lt;표2&gt; 인천 대리점 판매현황</t>
    <phoneticPr fontId="1" type="noConversion"/>
  </si>
  <si>
    <t>품목</t>
  </si>
  <si>
    <t>목표량</t>
    <phoneticPr fontId="20" type="noConversion"/>
  </si>
  <si>
    <t>판매량</t>
    <phoneticPr fontId="20" type="noConversion"/>
  </si>
  <si>
    <t>판매액</t>
  </si>
  <si>
    <t>MP3</t>
  </si>
  <si>
    <t>노트북</t>
  </si>
  <si>
    <t>캠코더</t>
  </si>
  <si>
    <t>카메라폰</t>
  </si>
  <si>
    <r>
      <t>P</t>
    </r>
    <r>
      <rPr>
        <sz val="11"/>
        <color theme="1"/>
        <rFont val="맑은 고딕"/>
        <family val="3"/>
        <charset val="129"/>
        <scheme val="minor"/>
      </rPr>
      <t>DP</t>
    </r>
    <phoneticPr fontId="2" type="noConversion"/>
  </si>
  <si>
    <t>냉장고</t>
    <phoneticPr fontId="2" type="noConversion"/>
  </si>
  <si>
    <r>
      <t>D</t>
    </r>
    <r>
      <rPr>
        <sz val="11"/>
        <color theme="1"/>
        <rFont val="맑은 고딕"/>
        <family val="3"/>
        <charset val="129"/>
        <scheme val="minor"/>
      </rPr>
      <t>VD</t>
    </r>
    <phoneticPr fontId="2" type="noConversion"/>
  </si>
  <si>
    <t>&lt;표3&gt; 김포 / 인천  대리점 판매현황</t>
    <phoneticPr fontId="1" type="noConversion"/>
  </si>
  <si>
    <t>목표량</t>
    <phoneticPr fontId="2" type="noConversion"/>
  </si>
  <si>
    <t>판매량</t>
    <phoneticPr fontId="2" type="noConversion"/>
  </si>
  <si>
    <t>판매액</t>
    <phoneticPr fontId="2" type="noConversion"/>
  </si>
  <si>
    <t>&lt;표4&gt;</t>
    <phoneticPr fontId="1" type="noConversion"/>
  </si>
  <si>
    <t>PDP</t>
  </si>
  <si>
    <t>냉장고</t>
  </si>
  <si>
    <t>DVD</t>
  </si>
  <si>
    <t>번호</t>
    <phoneticPr fontId="1" type="noConversion"/>
  </si>
  <si>
    <t>&lt;번외풀이 행방향의 표 풀이&gt;</t>
    <phoneticPr fontId="1" type="noConversion"/>
  </si>
  <si>
    <t>6월 요약</t>
  </si>
  <si>
    <t>7월 요약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</si>
</sst>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dd\-mmm\-yy"/>
    <numFmt numFmtId="177" formatCode="0_ "/>
    <numFmt numFmtId="178" formatCode="[$-409]mmmmm/yy;@"/>
    <numFmt numFmtId="179" formatCode="#&quot;이&quot;&quot;상&quot;"/>
    <numFmt numFmtId="180" formatCode="#&quot;이&quot;&quot;하&quot;"/>
    <numFmt numFmtId="181" formatCode="yy/mm/dd"/>
    <numFmt numFmtId="182" formatCode="0.0%"/>
    <numFmt numFmtId="183" formatCode="#,##0_);[Red]\(#,##0\)"/>
    <numFmt numFmtId="184" formatCode="#,##0&quot;년&quot;"/>
    <numFmt numFmtId="185" formatCode="0_);[Red]\(0\)"/>
    <numFmt numFmtId="186" formatCode="_-* #,##0.00_-;\-* #,##0.00_-;_-* &quot;-&quot;_-;_-@_-"/>
    <numFmt numFmtId="187" formatCode="#,##0_ "/>
    <numFmt numFmtId="188" formatCode="[&gt;=5]#&quot;(통과)&quot;;[&lt;5]#&quot;(보류)&quot;"/>
  </numFmts>
  <fonts count="2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1"/>
      <name val="맑은 고딕"/>
      <family val="2"/>
      <charset val="129"/>
      <scheme val="minor"/>
    </font>
    <font>
      <b/>
      <sz val="11"/>
      <color indexed="54"/>
      <name val="맑은 고딕"/>
      <family val="2"/>
      <charset val="129"/>
      <scheme val="minor"/>
    </font>
    <font>
      <b/>
      <sz val="11"/>
      <color indexed="62"/>
      <name val="맑은 고딕"/>
      <family val="2"/>
      <charset val="129"/>
      <scheme val="minor"/>
    </font>
    <font>
      <b/>
      <sz val="11"/>
      <color indexed="8"/>
      <name val="맑은 고딕"/>
      <family val="2"/>
      <charset val="129"/>
      <scheme val="minor"/>
    </font>
    <font>
      <b/>
      <sz val="12"/>
      <color indexed="54"/>
      <name val="맑은 고딕"/>
      <family val="2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12"/>
      <name val="돋움체"/>
      <family val="3"/>
      <charset val="129"/>
    </font>
    <font>
      <sz val="10"/>
      <name val="Arial"/>
      <family val="2"/>
    </font>
    <font>
      <sz val="11"/>
      <color rgb="FF000000"/>
      <name val="맑은 고딕"/>
      <family val="3"/>
      <charset val="129"/>
    </font>
    <font>
      <b/>
      <sz val="12"/>
      <color indexed="9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ck">
        <color indexed="64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indexed="8"/>
      </left>
      <right/>
      <top style="thin">
        <color rgb="FF999999"/>
      </top>
      <bottom/>
      <diagonal/>
    </border>
    <border>
      <left/>
      <right style="thin">
        <color indexed="8"/>
      </right>
      <top style="thin">
        <color rgb="FF999999"/>
      </top>
      <bottom/>
      <diagonal/>
    </border>
  </borders>
  <cellStyleXfs count="10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42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" fillId="0" borderId="0"/>
    <xf numFmtId="0" fontId="6" fillId="0" borderId="0"/>
  </cellStyleXfs>
  <cellXfs count="143">
    <xf numFmtId="0" fontId="0" fillId="0" borderId="0" xfId="0">
      <alignment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8" fillId="0" borderId="0" xfId="0" applyFont="1" applyAlignment="1"/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7" fillId="2" borderId="2" xfId="4" applyFont="1" applyFill="1" applyBorder="1" applyAlignment="1">
      <alignment horizontal="center"/>
    </xf>
    <xf numFmtId="0" fontId="7" fillId="0" borderId="3" xfId="4" applyFont="1" applyFill="1" applyBorder="1" applyAlignment="1">
      <alignment wrapText="1"/>
    </xf>
    <xf numFmtId="176" fontId="7" fillId="0" borderId="3" xfId="4" applyNumberFormat="1" applyFont="1" applyFill="1" applyBorder="1" applyAlignment="1">
      <alignment horizontal="right" wrapText="1"/>
    </xf>
    <xf numFmtId="0" fontId="7" fillId="0" borderId="3" xfId="4" applyFont="1" applyFill="1" applyBorder="1" applyAlignment="1">
      <alignment horizontal="right" wrapText="1"/>
    </xf>
    <xf numFmtId="41" fontId="7" fillId="0" borderId="3" xfId="3" applyFont="1" applyFill="1" applyBorder="1" applyAlignment="1">
      <alignment horizontal="right" wrapText="1"/>
    </xf>
    <xf numFmtId="0" fontId="3" fillId="0" borderId="0" xfId="0" applyFont="1" applyFill="1" applyAlignment="1"/>
    <xf numFmtId="0" fontId="7" fillId="0" borderId="4" xfId="4" applyFont="1" applyFill="1" applyBorder="1" applyAlignment="1">
      <alignment wrapText="1"/>
    </xf>
    <xf numFmtId="0" fontId="7" fillId="0" borderId="4" xfId="4" applyFont="1" applyFill="1" applyBorder="1" applyAlignment="1">
      <alignment horizontal="right" wrapText="1"/>
    </xf>
    <xf numFmtId="41" fontId="7" fillId="0" borderId="4" xfId="3" applyFont="1" applyFill="1" applyBorder="1" applyAlignment="1">
      <alignment horizontal="right" wrapText="1"/>
    </xf>
    <xf numFmtId="177" fontId="3" fillId="0" borderId="0" xfId="0" applyNumberFormat="1" applyFont="1" applyFill="1" applyAlignment="1"/>
    <xf numFmtId="0" fontId="7" fillId="0" borderId="2" xfId="4" applyFont="1" applyFill="1" applyBorder="1" applyAlignment="1">
      <alignment horizontal="center"/>
    </xf>
    <xf numFmtId="0" fontId="7" fillId="0" borderId="5" xfId="4" applyFont="1" applyFill="1" applyBorder="1" applyAlignment="1">
      <alignment horizontal="center"/>
    </xf>
    <xf numFmtId="0" fontId="7" fillId="0" borderId="7" xfId="5" applyNumberFormat="1" applyFont="1" applyFill="1" applyBorder="1" applyAlignment="1">
      <alignment horizontal="center" wrapText="1"/>
    </xf>
    <xf numFmtId="0" fontId="7" fillId="0" borderId="1" xfId="5" applyFont="1" applyFill="1" applyBorder="1" applyAlignment="1">
      <alignment horizontal="center" wrapText="1"/>
    </xf>
    <xf numFmtId="0" fontId="7" fillId="0" borderId="7" xfId="5" applyFont="1" applyFill="1" applyBorder="1" applyAlignment="1">
      <alignment horizontal="center" wrapText="1"/>
    </xf>
    <xf numFmtId="41" fontId="7" fillId="0" borderId="7" xfId="3" applyFont="1" applyFill="1" applyBorder="1" applyAlignment="1">
      <alignment horizontal="center" wrapText="1"/>
    </xf>
    <xf numFmtId="41" fontId="7" fillId="0" borderId="1" xfId="3" applyFont="1" applyFill="1" applyBorder="1" applyAlignment="1">
      <alignment horizontal="center" wrapText="1"/>
    </xf>
    <xf numFmtId="0" fontId="8" fillId="0" borderId="0" xfId="0" applyNumberFormat="1" applyFont="1" applyAlignment="1"/>
    <xf numFmtId="178" fontId="8" fillId="0" borderId="0" xfId="0" applyNumberFormat="1" applyFont="1" applyAlignment="1"/>
    <xf numFmtId="41" fontId="8" fillId="0" borderId="0" xfId="3" applyFont="1" applyAlignment="1"/>
    <xf numFmtId="0" fontId="9" fillId="0" borderId="1" xfId="0" applyFont="1" applyFill="1" applyBorder="1" applyAlignment="1">
      <alignment horizontal="center"/>
    </xf>
    <xf numFmtId="0" fontId="7" fillId="0" borderId="6" xfId="5" applyFont="1" applyFill="1" applyBorder="1" applyAlignment="1">
      <alignment horizontal="center" wrapText="1"/>
    </xf>
    <xf numFmtId="0" fontId="8" fillId="0" borderId="7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8" fillId="0" borderId="0" xfId="3" applyNumberFormat="1" applyFont="1" applyAlignment="1"/>
    <xf numFmtId="0" fontId="8" fillId="0" borderId="0" xfId="0" applyNumberFormat="1" applyFont="1">
      <alignment vertical="center"/>
    </xf>
    <xf numFmtId="0" fontId="8" fillId="0" borderId="1" xfId="0" applyNumberFormat="1" applyFont="1" applyBorder="1" applyAlignment="1"/>
    <xf numFmtId="9" fontId="8" fillId="0" borderId="1" xfId="0" applyNumberFormat="1" applyFont="1" applyBorder="1" applyAlignment="1"/>
    <xf numFmtId="179" fontId="8" fillId="3" borderId="1" xfId="0" applyNumberFormat="1" applyFont="1" applyFill="1" applyBorder="1" applyAlignment="1"/>
    <xf numFmtId="180" fontId="8" fillId="3" borderId="1" xfId="0" applyNumberFormat="1" applyFont="1" applyFill="1" applyBorder="1" applyAlignment="1"/>
    <xf numFmtId="41" fontId="9" fillId="0" borderId="1" xfId="3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7" fillId="3" borderId="1" xfId="5" applyFont="1" applyFill="1" applyBorder="1" applyAlignment="1">
      <alignment horizont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2" borderId="2" xfId="8" applyFont="1" applyFill="1" applyBorder="1" applyAlignment="1">
      <alignment horizontal="center"/>
    </xf>
    <xf numFmtId="0" fontId="10" fillId="0" borderId="3" xfId="8" applyFont="1" applyFill="1" applyBorder="1" applyAlignment="1">
      <alignment horizontal="right" wrapText="1"/>
    </xf>
    <xf numFmtId="0" fontId="10" fillId="0" borderId="3" xfId="8" applyFont="1" applyFill="1" applyBorder="1" applyAlignment="1">
      <alignment wrapText="1"/>
    </xf>
    <xf numFmtId="181" fontId="10" fillId="0" borderId="3" xfId="8" applyNumberFormat="1" applyFont="1" applyFill="1" applyBorder="1" applyAlignment="1">
      <alignment horizontal="right" wrapText="1"/>
    </xf>
    <xf numFmtId="0" fontId="8" fillId="0" borderId="0" xfId="0" applyFont="1" applyAlignment="1">
      <alignment horizontal="center"/>
    </xf>
    <xf numFmtId="41" fontId="8" fillId="0" borderId="0" xfId="3" applyFont="1" applyAlignment="1">
      <alignment horizontal="center"/>
    </xf>
    <xf numFmtId="0" fontId="8" fillId="0" borderId="0" xfId="0" applyNumberFormat="1" applyFont="1" applyAlignment="1">
      <alignment horizontal="center"/>
    </xf>
    <xf numFmtId="9" fontId="8" fillId="0" borderId="0" xfId="7" applyFont="1" applyFill="1" applyAlignment="1"/>
    <xf numFmtId="6" fontId="8" fillId="0" borderId="0" xfId="0" applyNumberFormat="1" applyFont="1" applyAlignment="1">
      <alignment horizontal="center"/>
    </xf>
    <xf numFmtId="0" fontId="8" fillId="0" borderId="0" xfId="0" applyFont="1" applyFill="1" applyAlignment="1"/>
    <xf numFmtId="0" fontId="8" fillId="0" borderId="0" xfId="0" applyFont="1" applyBorder="1" applyAlignment="1"/>
    <xf numFmtId="6" fontId="8" fillId="0" borderId="0" xfId="0" applyNumberFormat="1" applyFont="1" applyFill="1" applyBorder="1" applyAlignment="1">
      <alignment horizontal="center"/>
    </xf>
    <xf numFmtId="41" fontId="8" fillId="4" borderId="1" xfId="3" applyFont="1" applyFill="1" applyBorder="1" applyAlignment="1">
      <alignment horizontal="center"/>
    </xf>
    <xf numFmtId="41" fontId="8" fillId="0" borderId="0" xfId="3" applyFont="1" applyFill="1" applyBorder="1" applyAlignment="1">
      <alignment horizontal="center"/>
    </xf>
    <xf numFmtId="41" fontId="8" fillId="0" borderId="1" xfId="3" applyFont="1" applyFill="1" applyBorder="1" applyAlignment="1">
      <alignment horizontal="left"/>
    </xf>
    <xf numFmtId="42" fontId="8" fillId="0" borderId="1" xfId="6" applyFont="1" applyFill="1" applyBorder="1" applyAlignment="1"/>
    <xf numFmtId="41" fontId="8" fillId="0" borderId="0" xfId="3" applyFont="1" applyFill="1" applyBorder="1" applyAlignment="1"/>
    <xf numFmtId="0" fontId="8" fillId="4" borderId="1" xfId="0" applyFont="1" applyFill="1" applyBorder="1" applyAlignment="1">
      <alignment horizontal="center"/>
    </xf>
    <xf numFmtId="6" fontId="8" fillId="0" borderId="0" xfId="3" applyNumberFormat="1" applyFont="1" applyFill="1" applyBorder="1" applyAlignment="1"/>
    <xf numFmtId="182" fontId="8" fillId="0" borderId="1" xfId="0" applyNumberFormat="1" applyFont="1" applyBorder="1" applyAlignment="1">
      <alignment horizontal="center"/>
    </xf>
    <xf numFmtId="183" fontId="8" fillId="0" borderId="1" xfId="3" applyNumberFormat="1" applyFont="1" applyBorder="1" applyAlignment="1"/>
    <xf numFmtId="41" fontId="8" fillId="0" borderId="0" xfId="3" applyFont="1" applyBorder="1" applyAlignment="1"/>
    <xf numFmtId="9" fontId="8" fillId="0" borderId="1" xfId="7" applyFont="1" applyFill="1" applyBorder="1" applyAlignment="1">
      <alignment horizontal="center"/>
    </xf>
    <xf numFmtId="184" fontId="8" fillId="0" borderId="1" xfId="3" applyNumberFormat="1" applyFont="1" applyFill="1" applyBorder="1" applyAlignment="1">
      <alignment horizontal="center"/>
    </xf>
    <xf numFmtId="9" fontId="8" fillId="0" borderId="0" xfId="7" applyFont="1" applyFill="1" applyBorder="1" applyAlignment="1"/>
    <xf numFmtId="183" fontId="8" fillId="0" borderId="1" xfId="0" applyNumberFormat="1" applyFont="1" applyBorder="1" applyAlignment="1"/>
    <xf numFmtId="0" fontId="8" fillId="0" borderId="0" xfId="0" applyFont="1" applyFill="1" applyBorder="1" applyAlignment="1"/>
    <xf numFmtId="0" fontId="8" fillId="0" borderId="0" xfId="0" applyFont="1" applyFill="1" applyBorder="1" applyAlignment="1">
      <alignment horizontal="center"/>
    </xf>
    <xf numFmtId="0" fontId="8" fillId="0" borderId="0" xfId="0" applyFont="1" applyAlignment="1">
      <alignment vertical="center"/>
    </xf>
    <xf numFmtId="41" fontId="8" fillId="0" borderId="0" xfId="3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1" xfId="5" applyFont="1" applyFill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41" fontId="9" fillId="0" borderId="1" xfId="3" applyFont="1" applyBorder="1" applyAlignment="1">
      <alignment horizontal="center" vertical="center"/>
    </xf>
    <xf numFmtId="41" fontId="8" fillId="0" borderId="1" xfId="3" applyNumberFormat="1" applyFont="1" applyBorder="1" applyAlignment="1">
      <alignment horizontal="right" vertical="center"/>
    </xf>
    <xf numFmtId="0" fontId="9" fillId="0" borderId="0" xfId="0" applyFont="1" applyFill="1" applyBorder="1" applyAlignment="1">
      <alignment vertical="center"/>
    </xf>
    <xf numFmtId="0" fontId="0" fillId="0" borderId="1" xfId="0" applyBorder="1">
      <alignment vertical="center"/>
    </xf>
    <xf numFmtId="0" fontId="3" fillId="0" borderId="0" xfId="0" applyFont="1" applyFill="1" applyAlignment="1">
      <alignment horizontal="center"/>
    </xf>
    <xf numFmtId="0" fontId="7" fillId="0" borderId="0" xfId="4" quotePrefix="1" applyFont="1" applyFill="1" applyBorder="1" applyAlignment="1">
      <alignment horizontal="center" wrapText="1"/>
    </xf>
    <xf numFmtId="0" fontId="7" fillId="0" borderId="0" xfId="4" applyFont="1" applyFill="1" applyBorder="1" applyAlignment="1">
      <alignment wrapText="1"/>
    </xf>
    <xf numFmtId="185" fontId="3" fillId="0" borderId="0" xfId="0" applyNumberFormat="1" applyFont="1" applyAlignment="1"/>
    <xf numFmtId="186" fontId="8" fillId="0" borderId="0" xfId="3" applyNumberFormat="1" applyFont="1" applyAlignment="1"/>
    <xf numFmtId="41" fontId="8" fillId="0" borderId="7" xfId="0" applyNumberFormat="1" applyFont="1" applyBorder="1">
      <alignment vertical="center"/>
    </xf>
    <xf numFmtId="41" fontId="8" fillId="0" borderId="0" xfId="0" applyNumberFormat="1" applyFont="1" applyAlignment="1"/>
    <xf numFmtId="0" fontId="8" fillId="0" borderId="0" xfId="0" quotePrefix="1" applyFont="1">
      <alignment vertical="center"/>
    </xf>
    <xf numFmtId="41" fontId="0" fillId="0" borderId="0" xfId="0" applyNumberFormat="1" applyAlignment="1">
      <alignment horizontal="right" vertical="center"/>
    </xf>
    <xf numFmtId="0" fontId="13" fillId="0" borderId="0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41" fontId="14" fillId="5" borderId="14" xfId="0" applyNumberFormat="1" applyFont="1" applyFill="1" applyBorder="1" applyAlignment="1">
      <alignment horizontal="right" vertical="center"/>
    </xf>
    <xf numFmtId="41" fontId="14" fillId="5" borderId="16" xfId="0" applyNumberFormat="1" applyFont="1" applyFill="1" applyBorder="1" applyAlignment="1">
      <alignment horizontal="right" vertical="center"/>
    </xf>
    <xf numFmtId="0" fontId="0" fillId="0" borderId="0" xfId="0" applyAlignment="1"/>
    <xf numFmtId="187" fontId="3" fillId="0" borderId="1" xfId="0" applyNumberFormat="1" applyFont="1" applyBorder="1" applyAlignment="1">
      <alignment horizontal="right"/>
    </xf>
    <xf numFmtId="0" fontId="9" fillId="5" borderId="1" xfId="0" applyFont="1" applyFill="1" applyBorder="1" applyAlignment="1">
      <alignment horizontal="center"/>
    </xf>
    <xf numFmtId="0" fontId="18" fillId="5" borderId="1" xfId="3" applyNumberFormat="1" applyFont="1" applyFill="1" applyBorder="1" applyAlignment="1">
      <alignment horizontal="center"/>
    </xf>
    <xf numFmtId="0" fontId="7" fillId="0" borderId="1" xfId="9" applyFont="1" applyFill="1" applyBorder="1" applyAlignment="1">
      <alignment horizontal="center"/>
    </xf>
    <xf numFmtId="41" fontId="7" fillId="0" borderId="1" xfId="3" applyFont="1" applyFill="1" applyBorder="1" applyAlignment="1">
      <alignment horizontal="right"/>
    </xf>
    <xf numFmtId="0" fontId="13" fillId="0" borderId="17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41" fontId="0" fillId="0" borderId="17" xfId="0" applyNumberFormat="1" applyBorder="1" applyAlignment="1">
      <alignment horizontal="right" vertical="center"/>
    </xf>
    <xf numFmtId="41" fontId="0" fillId="0" borderId="20" xfId="0" applyNumberFormat="1" applyBorder="1" applyAlignment="1">
      <alignment horizontal="right" vertical="center"/>
    </xf>
    <xf numFmtId="41" fontId="0" fillId="0" borderId="21" xfId="0" applyNumberFormat="1" applyBorder="1" applyAlignment="1">
      <alignment horizontal="right" vertical="center"/>
    </xf>
    <xf numFmtId="41" fontId="0" fillId="0" borderId="24" xfId="0" applyNumberFormat="1" applyBorder="1" applyAlignment="1">
      <alignment horizontal="right" vertical="center"/>
    </xf>
    <xf numFmtId="41" fontId="0" fillId="0" borderId="25" xfId="0" applyNumberFormat="1" applyBorder="1" applyAlignment="1">
      <alignment horizontal="right" vertical="center"/>
    </xf>
    <xf numFmtId="41" fontId="0" fillId="0" borderId="27" xfId="0" applyNumberFormat="1" applyBorder="1" applyAlignment="1">
      <alignment horizontal="right" vertical="center"/>
    </xf>
    <xf numFmtId="0" fontId="1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1" fontId="8" fillId="0" borderId="1" xfId="3" applyFont="1" applyBorder="1" applyAlignment="1">
      <alignment vertical="center"/>
    </xf>
    <xf numFmtId="41" fontId="8" fillId="0" borderId="1" xfId="0" applyNumberFormat="1" applyFont="1" applyBorder="1" applyAlignment="1">
      <alignment vertical="center"/>
    </xf>
    <xf numFmtId="0" fontId="3" fillId="0" borderId="1" xfId="0" applyFont="1" applyBorder="1" applyAlignment="1"/>
    <xf numFmtId="41" fontId="3" fillId="0" borderId="1" xfId="0" applyNumberFormat="1" applyFont="1" applyBorder="1" applyAlignment="1"/>
    <xf numFmtId="41" fontId="3" fillId="0" borderId="0" xfId="0" applyNumberFormat="1" applyFont="1" applyAlignment="1"/>
    <xf numFmtId="0" fontId="8" fillId="0" borderId="1" xfId="0" applyFont="1" applyBorder="1" applyAlignment="1"/>
    <xf numFmtId="41" fontId="8" fillId="0" borderId="1" xfId="0" applyNumberFormat="1" applyFont="1" applyBorder="1" applyAlignment="1"/>
    <xf numFmtId="0" fontId="7" fillId="0" borderId="1" xfId="5" applyNumberFormat="1" applyFont="1" applyFill="1" applyBorder="1" applyAlignment="1">
      <alignment horizontal="center" wrapText="1"/>
    </xf>
    <xf numFmtId="42" fontId="8" fillId="0" borderId="1" xfId="3" applyNumberFormat="1" applyFont="1" applyFill="1" applyBorder="1" applyAlignment="1"/>
    <xf numFmtId="188" fontId="3" fillId="0" borderId="0" xfId="0" applyNumberFormat="1" applyFont="1" applyFill="1" applyAlignment="1"/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3" borderId="10" xfId="0" applyNumberFormat="1" applyFont="1" applyFill="1" applyBorder="1" applyAlignment="1">
      <alignment horizontal="left" wrapText="1"/>
    </xf>
    <xf numFmtId="0" fontId="8" fillId="3" borderId="11" xfId="0" applyNumberFormat="1" applyFont="1" applyFill="1" applyBorder="1" applyAlignment="1">
      <alignment horizontal="left"/>
    </xf>
    <xf numFmtId="0" fontId="0" fillId="0" borderId="26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 wrapText="1"/>
    </xf>
    <xf numFmtId="0" fontId="14" fillId="5" borderId="14" xfId="0" applyFont="1" applyFill="1" applyBorder="1" applyAlignment="1">
      <alignment horizontal="center" vertical="center"/>
    </xf>
    <xf numFmtId="0" fontId="15" fillId="5" borderId="17" xfId="0" applyFont="1" applyFill="1" applyBorder="1" applyAlignment="1">
      <alignment horizontal="center" vertical="center" wrapText="1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7" fillId="5" borderId="22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41" fontId="22" fillId="6" borderId="14" xfId="0" applyNumberFormat="1" applyFont="1" applyFill="1" applyBorder="1" applyAlignment="1">
      <alignment horizontal="right" vertical="center"/>
    </xf>
    <xf numFmtId="41" fontId="22" fillId="6" borderId="16" xfId="0" applyNumberFormat="1" applyFont="1" applyFill="1" applyBorder="1" applyAlignment="1">
      <alignment horizontal="right" vertical="center"/>
    </xf>
    <xf numFmtId="0" fontId="22" fillId="6" borderId="14" xfId="0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center" vertical="center" wrapText="1"/>
    </xf>
  </cellXfs>
  <cellStyles count="10">
    <cellStyle name="백분율" xfId="7" builtinId="5"/>
    <cellStyle name="백분율 2" xfId="2"/>
    <cellStyle name="쉼표 [0]" xfId="3" builtinId="6"/>
    <cellStyle name="통화 [0]" xfId="6" builtinId="7"/>
    <cellStyle name="표준" xfId="0" builtinId="0"/>
    <cellStyle name="표준 2" xfId="1"/>
    <cellStyle name="표준_Sheet1" xfId="4"/>
    <cellStyle name="표준_건물임대" xfId="9"/>
    <cellStyle name="표준_급여계산" xfId="5"/>
    <cellStyle name="표준_분석작업-1" xfId="8"/>
  </cellStyles>
  <dxfs count="7">
    <dxf>
      <numFmt numFmtId="35" formatCode="_-* #,##0.00_-;\-* #,##0.00_-;_-* &quot;-&quot;??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5" formatCode="_-* #,##0.00_-;\-* #,##0.00_-;_-* &quot;-&quot;??_-;_-@_-"/>
    </dxf>
    <dxf>
      <font>
        <u/>
      </font>
      <fill>
        <patternFill>
          <bgColor theme="3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/>
            </a:pPr>
            <a:r>
              <a:rPr lang="ko-KR" altLang="en-US" sz="1400" b="1"/>
              <a:t>강사비 지출내역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1학년</c:v>
                </c:pt>
              </c:strCache>
            </c:strRef>
          </c:tx>
          <c:invertIfNegative val="0"/>
          <c:cat>
            <c:strRef>
              <c:f>'기타작업-1'!$B$4:$B$7</c:f>
              <c:strCache>
                <c:ptCount val="4"/>
                <c:pt idx="0">
                  <c:v>국사</c:v>
                </c:pt>
                <c:pt idx="1">
                  <c:v>국어</c:v>
                </c:pt>
                <c:pt idx="2">
                  <c:v>수학</c:v>
                </c:pt>
                <c:pt idx="3">
                  <c:v>영어</c:v>
                </c:pt>
              </c:strCache>
            </c:strRef>
          </c:cat>
          <c:val>
            <c:numRef>
              <c:f>'기타작업-1'!$C$4:$C$7</c:f>
              <c:numCache>
                <c:formatCode>#,##0_ </c:formatCode>
                <c:ptCount val="4"/>
                <c:pt idx="0">
                  <c:v>270000</c:v>
                </c:pt>
                <c:pt idx="1">
                  <c:v>360000</c:v>
                </c:pt>
                <c:pt idx="2">
                  <c:v>200000</c:v>
                </c:pt>
                <c:pt idx="3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8-471D-B315-B51CC32A67F2}"/>
            </c:ext>
          </c:extLst>
        </c:ser>
        <c:ser>
          <c:idx val="1"/>
          <c:order val="1"/>
          <c:tx>
            <c:strRef>
              <c:f>'기타작업-1'!$E$3</c:f>
              <c:strCache>
                <c:ptCount val="1"/>
                <c:pt idx="0">
                  <c:v>3학년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'기타작업-1'!$B$4:$B$7</c:f>
              <c:strCache>
                <c:ptCount val="4"/>
                <c:pt idx="0">
                  <c:v>국사</c:v>
                </c:pt>
                <c:pt idx="1">
                  <c:v>국어</c:v>
                </c:pt>
                <c:pt idx="2">
                  <c:v>수학</c:v>
                </c:pt>
                <c:pt idx="3">
                  <c:v>영어</c:v>
                </c:pt>
              </c:strCache>
            </c:strRef>
          </c:cat>
          <c:val>
            <c:numRef>
              <c:f>'기타작업-1'!$E$4:$E$7</c:f>
              <c:numCache>
                <c:formatCode>#,##0_ </c:formatCode>
                <c:ptCount val="4"/>
                <c:pt idx="0">
                  <c:v>220000</c:v>
                </c:pt>
                <c:pt idx="1">
                  <c:v>440000</c:v>
                </c:pt>
                <c:pt idx="2">
                  <c:v>120000</c:v>
                </c:pt>
                <c:pt idx="3">
                  <c:v>480000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08-471D-B315-B51CC32A6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661312"/>
        <c:axId val="145720832"/>
      </c:barChart>
      <c:catAx>
        <c:axId val="145661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과목명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45720832"/>
        <c:crosses val="autoZero"/>
        <c:auto val="1"/>
        <c:lblAlgn val="ctr"/>
        <c:lblOffset val="100"/>
        <c:noMultiLvlLbl val="0"/>
      </c:catAx>
      <c:valAx>
        <c:axId val="145720832"/>
        <c:scaling>
          <c:orientation val="minMax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ko-KR" altLang="en-US"/>
                  <a:t>강사비</a:t>
                </a:r>
              </a:p>
            </c:rich>
          </c:tx>
          <c:overlay val="0"/>
        </c:title>
        <c:numFmt formatCode="#,##0_ " sourceLinked="1"/>
        <c:majorTickMark val="out"/>
        <c:minorTickMark val="none"/>
        <c:tickLblPos val="nextTo"/>
        <c:crossAx val="145661312"/>
        <c:crosses val="autoZero"/>
        <c:crossBetween val="between"/>
        <c:dispUnits>
          <c:builtInUnit val="thousands"/>
          <c:dispUnitsLbl>
            <c:txPr>
              <a:bodyPr rot="0" vert="horz"/>
              <a:lstStyle/>
              <a:p>
                <a:pPr>
                  <a:defRPr/>
                </a:pPr>
                <a:endParaRPr lang="ko-KR"/>
              </a:p>
            </c:txPr>
          </c:dispUnitsLbl>
        </c:dispUnits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차트1"/>
  <sheetViews>
    <sheetView zoomScale="13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409575</xdr:colOff>
      <xdr:row>24</xdr:row>
      <xdr:rowOff>142875</xdr:rowOff>
    </xdr:from>
    <xdr:to>
      <xdr:col>13</xdr:col>
      <xdr:colOff>571500</xdr:colOff>
      <xdr:row>30</xdr:row>
      <xdr:rowOff>47625</xdr:rowOff>
    </xdr:to>
    <xdr:cxnSp macro="">
      <xdr:nvCxnSpPr>
        <xdr:cNvPr id="10" name="직선 화살표 연결선 9"/>
        <xdr:cNvCxnSpPr/>
      </xdr:nvCxnSpPr>
      <xdr:spPr>
        <a:xfrm>
          <a:off x="5705475" y="5172075"/>
          <a:ext cx="161925" cy="1162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222" cy="6074833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이자율계산" textlink="">
      <xdr:nvSpPr>
        <xdr:cNvPr id="2" name="빗면 1"/>
        <xdr:cNvSpPr/>
      </xdr:nvSpPr>
      <xdr:spPr>
        <a:xfrm>
          <a:off x="1066800" y="209550"/>
          <a:ext cx="207645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0</xdr:rowOff>
        </xdr:from>
        <xdr:to>
          <xdr:col>3</xdr:col>
          <xdr:colOff>0</xdr:colOff>
          <xdr:row>23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0</xdr:row>
          <xdr:rowOff>152400</xdr:rowOff>
        </xdr:from>
        <xdr:to>
          <xdr:col>11</xdr:col>
          <xdr:colOff>600075</xdr:colOff>
          <xdr:row>3</xdr:row>
          <xdr:rowOff>85725</xdr:rowOff>
        </xdr:to>
        <xdr:sp macro="" textlink="">
          <xdr:nvSpPr>
            <xdr:cNvPr id="3077" name="Cmd입력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&#50500;&#51060;&#54000;&#48260;&#54016;&#47785;/Desktop/&#52980;&#54876;1&#44553;&#49892;&#44592;%20&#50696;&#51228;/1-&#52636;&#51228;&#50976;&#54805;&#48516;&#49437;%20&#50641;&#49472;/03-&#52636;&#51228;&#50976;&#54805;&#48516;&#49437;3&#54924;/&#51221;&#45813;&#54028;&#51068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cam" refreshedDate="44069.638125231482" createdVersion="6" refreshedVersion="6" minRefreshableVersion="3" recordCount="46">
  <cacheSource type="worksheet">
    <worksheetSource ref="B2:I48" sheet="분석작업-1" r:id="rId2"/>
  </cacheSource>
  <cacheFields count="10">
    <cacheField name="접수번호" numFmtId="0">
      <sharedItems containsSemiMixedTypes="0" containsString="0" containsNumber="1" containsInteger="1" minValue="1" maxValue="46"/>
    </cacheField>
    <cacheField name="접수코드" numFmtId="0">
      <sharedItems/>
    </cacheField>
    <cacheField name="등록일자" numFmtId="181">
      <sharedItems containsSemiMixedTypes="0" containsNonDate="0" containsDate="1" containsString="0" minDate="2005-06-01T00:00:00" maxDate="2005-08-01T00:00:00" count="43">
        <d v="2005-06-01T00:00:00"/>
        <d v="2005-06-02T00:00:00"/>
        <d v="2005-06-03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31T00:00:00"/>
        <d v="2005-07-19T00:00:00"/>
        <d v="2005-07-20T00:00:00"/>
        <d v="2005-07-22T00:00:00"/>
        <d v="2005-07-23T00:00:00"/>
        <d v="2005-07-17T00:00:00"/>
        <d v="2005-07-18T00:00:00"/>
        <d v="2005-07-03T00:00:00"/>
        <d v="2005-07-13T00:00:00"/>
        <d v="2005-07-25T00:00:00"/>
        <d v="2005-07-14T00:00:00"/>
        <d v="2005-07-15T00:00:00"/>
        <d v="2005-07-16T00:00:00"/>
      </sharedItems>
      <fieldGroup par="8" base="2">
        <rangePr groupBy="days" startDate="2005-06-01T00:00:00" endDate="2005-08-01T00:00:00"/>
        <groupItems count="368">
          <s v="&lt;2005-06-01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05-08-01"/>
        </groupItems>
      </fieldGroup>
    </cacheField>
    <cacheField name="이름" numFmtId="0">
      <sharedItems/>
    </cacheField>
    <cacheField name="학년" numFmtId="0">
      <sharedItems containsSemiMixedTypes="0" containsString="0" containsNumber="1" containsInteger="1" minValue="1" maxValue="3" count="3">
        <n v="1"/>
        <n v="3"/>
        <n v="2"/>
      </sharedItems>
    </cacheField>
    <cacheField name="과목" numFmtId="0">
      <sharedItems count="9">
        <s v="국사"/>
        <s v="영어"/>
        <s v="국어"/>
        <s v="수학"/>
        <s v="물리2"/>
        <s v="미술"/>
        <s v="미술 "/>
        <s v="물리1"/>
        <s v="체육"/>
      </sharedItems>
    </cacheField>
    <cacheField name="담당강사" numFmtId="0">
      <sharedItems/>
    </cacheField>
    <cacheField name="수강료" numFmtId="0">
      <sharedItems containsSemiMixedTypes="0" containsString="0" containsNumber="1" containsInteger="1" minValue="90000" maxValue="120000"/>
    </cacheField>
    <cacheField name="월" numFmtId="0" databaseField="0">
      <fieldGroup base="2">
        <rangePr groupBy="months" startDate="2005-06-01T00:00:00" endDate="2005-08-01T00:00:00"/>
        <groupItems count="14">
          <s v="&lt;2005-06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05-08-01"/>
        </groupItems>
      </fieldGroup>
    </cacheField>
    <cacheField name="예상액" numFmtId="0" formula="수강료*20%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">
  <r>
    <n v="1"/>
    <s v="C100"/>
    <x v="0"/>
    <s v="김신애"/>
    <x v="0"/>
    <x v="0"/>
    <s v="정솔희"/>
    <n v="90000"/>
  </r>
  <r>
    <n v="2"/>
    <s v="C300"/>
    <x v="1"/>
    <s v="강신희"/>
    <x v="1"/>
    <x v="0"/>
    <s v="유인촌"/>
    <n v="110000"/>
  </r>
  <r>
    <n v="3"/>
    <s v="A300"/>
    <x v="2"/>
    <s v="배애림"/>
    <x v="1"/>
    <x v="1"/>
    <s v="김태희"/>
    <n v="120000"/>
  </r>
  <r>
    <n v="4"/>
    <s v="A200"/>
    <x v="3"/>
    <s v="이윤혜"/>
    <x v="2"/>
    <x v="1"/>
    <s v="김래원"/>
    <n v="110000"/>
  </r>
  <r>
    <n v="5"/>
    <s v="C300"/>
    <x v="4"/>
    <s v="정수민"/>
    <x v="1"/>
    <x v="0"/>
    <s v="유인촌"/>
    <n v="110000"/>
  </r>
  <r>
    <n v="6"/>
    <s v="A300"/>
    <x v="5"/>
    <s v="우주희"/>
    <x v="1"/>
    <x v="1"/>
    <s v="김태희"/>
    <n v="120000"/>
  </r>
  <r>
    <n v="7"/>
    <s v="C100"/>
    <x v="6"/>
    <s v="빅인환"/>
    <x v="0"/>
    <x v="0"/>
    <s v="정솔희"/>
    <n v="90000"/>
  </r>
  <r>
    <n v="8"/>
    <s v="A300"/>
    <x v="7"/>
    <s v="진태화"/>
    <x v="1"/>
    <x v="1"/>
    <s v="김태희"/>
    <n v="120000"/>
  </r>
  <r>
    <n v="9"/>
    <s v="C200"/>
    <x v="8"/>
    <s v="이창현"/>
    <x v="2"/>
    <x v="0"/>
    <s v="고두심"/>
    <n v="100000"/>
  </r>
  <r>
    <n v="10"/>
    <s v="D300"/>
    <x v="9"/>
    <s v="김수근"/>
    <x v="1"/>
    <x v="2"/>
    <s v="신동길"/>
    <n v="110000"/>
  </r>
  <r>
    <n v="11"/>
    <s v="A200"/>
    <x v="10"/>
    <s v="이상민"/>
    <x v="2"/>
    <x v="1"/>
    <s v="김래원"/>
    <n v="110000"/>
  </r>
  <r>
    <n v="12"/>
    <s v="D100"/>
    <x v="11"/>
    <s v="박준호"/>
    <x v="0"/>
    <x v="2"/>
    <s v="강수정"/>
    <n v="90000"/>
  </r>
  <r>
    <n v="13"/>
    <s v="A200"/>
    <x v="12"/>
    <s v="김호진"/>
    <x v="2"/>
    <x v="1"/>
    <s v="김래원"/>
    <n v="110000"/>
  </r>
  <r>
    <n v="14"/>
    <s v="D100"/>
    <x v="13"/>
    <s v="여수현"/>
    <x v="0"/>
    <x v="2"/>
    <s v="강수정"/>
    <n v="90000"/>
  </r>
  <r>
    <n v="15"/>
    <s v="D100"/>
    <x v="14"/>
    <s v="진달래"/>
    <x v="0"/>
    <x v="2"/>
    <s v="강수정"/>
    <n v="90000"/>
  </r>
  <r>
    <n v="16"/>
    <s v="D300"/>
    <x v="15"/>
    <s v="우지연"/>
    <x v="1"/>
    <x v="2"/>
    <s v="신동길"/>
    <n v="110000"/>
  </r>
  <r>
    <n v="17"/>
    <s v="B100"/>
    <x v="16"/>
    <s v="이나영"/>
    <x v="0"/>
    <x v="3"/>
    <s v="황원섭"/>
    <n v="100000"/>
  </r>
  <r>
    <n v="18"/>
    <s v="C200"/>
    <x v="17"/>
    <s v="정발산"/>
    <x v="2"/>
    <x v="0"/>
    <s v="고두심"/>
    <n v="100000"/>
  </r>
  <r>
    <n v="19"/>
    <s v="C100"/>
    <x v="18"/>
    <s v="송지유"/>
    <x v="0"/>
    <x v="0"/>
    <s v="정솔희"/>
    <n v="90000"/>
  </r>
  <r>
    <n v="20"/>
    <s v="D300"/>
    <x v="19"/>
    <s v="강신일"/>
    <x v="1"/>
    <x v="2"/>
    <s v="신동길"/>
    <n v="110000"/>
  </r>
  <r>
    <n v="21"/>
    <s v="C100"/>
    <x v="20"/>
    <s v="김민규"/>
    <x v="0"/>
    <x v="0"/>
    <s v="정솔희"/>
    <n v="90000"/>
  </r>
  <r>
    <n v="22"/>
    <s v="D200"/>
    <x v="21"/>
    <s v="송윤진"/>
    <x v="2"/>
    <x v="2"/>
    <s v="노현정"/>
    <n v="100000"/>
  </r>
  <r>
    <n v="23"/>
    <s v="C100"/>
    <x v="22"/>
    <s v="장원길"/>
    <x v="0"/>
    <x v="0"/>
    <s v="정솔희"/>
    <n v="90000"/>
  </r>
  <r>
    <n v="24"/>
    <s v="B100"/>
    <x v="23"/>
    <s v="민경성"/>
    <x v="0"/>
    <x v="3"/>
    <s v="황원섭"/>
    <n v="100000"/>
  </r>
  <r>
    <n v="25"/>
    <s v="B300"/>
    <x v="24"/>
    <s v="강병규"/>
    <x v="1"/>
    <x v="3"/>
    <s v="이수철"/>
    <n v="120000"/>
  </r>
  <r>
    <n v="26"/>
    <s v="C200"/>
    <x v="25"/>
    <s v="김대호"/>
    <x v="2"/>
    <x v="0"/>
    <s v="고두심"/>
    <n v="100000"/>
  </r>
  <r>
    <n v="27"/>
    <s v="A300"/>
    <x v="26"/>
    <s v="조영상"/>
    <x v="1"/>
    <x v="1"/>
    <s v="김태희"/>
    <n v="120000"/>
  </r>
  <r>
    <n v="28"/>
    <s v="A100"/>
    <x v="27"/>
    <s v="지상렬"/>
    <x v="0"/>
    <x v="1"/>
    <s v="이정진"/>
    <n v="100000"/>
  </r>
  <r>
    <n v="29"/>
    <s v="D100"/>
    <x v="28"/>
    <s v="김준수"/>
    <x v="0"/>
    <x v="2"/>
    <s v="강수정"/>
    <n v="90000"/>
  </r>
  <r>
    <n v="30"/>
    <s v="D300"/>
    <x v="29"/>
    <s v="정윤호"/>
    <x v="1"/>
    <x v="2"/>
    <s v="신동길"/>
    <n v="110000"/>
  </r>
  <r>
    <n v="31"/>
    <s v="F300"/>
    <x v="30"/>
    <s v="김기은"/>
    <x v="2"/>
    <x v="4"/>
    <s v="강성철"/>
    <n v="100000"/>
  </r>
  <r>
    <n v="32"/>
    <s v="F300"/>
    <x v="31"/>
    <s v="이주현"/>
    <x v="2"/>
    <x v="4"/>
    <s v="강성철"/>
    <n v="100000"/>
  </r>
  <r>
    <n v="33"/>
    <s v="E100"/>
    <x v="32"/>
    <s v="전수연"/>
    <x v="1"/>
    <x v="5"/>
    <s v="천경미"/>
    <n v="120000"/>
  </r>
  <r>
    <n v="34"/>
    <s v="E100"/>
    <x v="32"/>
    <s v="라유미"/>
    <x v="1"/>
    <x v="5"/>
    <s v="천경미"/>
    <n v="120000"/>
  </r>
  <r>
    <n v="35"/>
    <s v="E100"/>
    <x v="32"/>
    <s v="박현덕"/>
    <x v="1"/>
    <x v="6"/>
    <s v="천경미"/>
    <n v="120000"/>
  </r>
  <r>
    <n v="36"/>
    <s v="F100"/>
    <x v="33"/>
    <s v="김창성"/>
    <x v="2"/>
    <x v="7"/>
    <s v="임연수"/>
    <n v="100000"/>
  </r>
  <r>
    <n v="37"/>
    <s v="F200"/>
    <x v="34"/>
    <s v="강현주"/>
    <x v="2"/>
    <x v="4"/>
    <s v="강성철"/>
    <n v="100000"/>
  </r>
  <r>
    <n v="38"/>
    <s v="G100"/>
    <x v="35"/>
    <s v="지미현"/>
    <x v="0"/>
    <x v="8"/>
    <s v="조동선"/>
    <n v="90000"/>
  </r>
  <r>
    <n v="39"/>
    <s v="G100"/>
    <x v="36"/>
    <s v="성경신"/>
    <x v="0"/>
    <x v="8"/>
    <s v="조동선"/>
    <n v="90000"/>
  </r>
  <r>
    <n v="40"/>
    <s v="E100"/>
    <x v="32"/>
    <s v="김하늘"/>
    <x v="1"/>
    <x v="5"/>
    <s v="천경미"/>
    <n v="120000"/>
  </r>
  <r>
    <n v="41"/>
    <s v="G100"/>
    <x v="37"/>
    <s v="서승민"/>
    <x v="0"/>
    <x v="8"/>
    <s v="조동선"/>
    <n v="90000"/>
  </r>
  <r>
    <n v="42"/>
    <s v="G100"/>
    <x v="38"/>
    <s v="최규진"/>
    <x v="0"/>
    <x v="8"/>
    <s v="조동선"/>
    <n v="90000"/>
  </r>
  <r>
    <n v="43"/>
    <s v="F200"/>
    <x v="39"/>
    <s v="진선미"/>
    <x v="2"/>
    <x v="4"/>
    <s v="강성철"/>
    <n v="100000"/>
  </r>
  <r>
    <n v="44"/>
    <s v="G100"/>
    <x v="40"/>
    <s v="강덕화"/>
    <x v="0"/>
    <x v="8"/>
    <s v="조동선"/>
    <n v="90000"/>
  </r>
  <r>
    <n v="45"/>
    <s v="G100"/>
    <x v="41"/>
    <s v="정혜영"/>
    <x v="2"/>
    <x v="8"/>
    <s v="조동선"/>
    <n v="100000"/>
  </r>
  <r>
    <n v="46"/>
    <s v="G100"/>
    <x v="42"/>
    <s v="백경진"/>
    <x v="0"/>
    <x v="8"/>
    <s v="조동선"/>
    <n v="9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autoFormatId="4107" applyNumberFormats="1" applyBorderFormats="1" applyFontFormats="1" applyPatternFormats="1" applyAlignmentFormats="1" applyWidthHeightFormats="1" dataCaption="값" updatedVersion="6" minRefreshableVersion="3" useAutoFormatting="1" colGrandTotals="0" itemPrintTitles="1" mergeItem="1" createdVersion="6" indent="0" outline="1" outlineData="1" multipleFieldFilters="0">
  <location ref="B52:I68" firstHeaderRow="1" firstDataRow="3" firstDataCol="2"/>
  <pivotFields count="10">
    <pivotField outline="0" subtotalTop="0" showAll="0"/>
    <pivotField outline="0" subtotalTop="0" showAll="0"/>
    <pivotField numFmtId="181" outline="0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outline="0" subtotalTop="0" showAll="0"/>
    <pivotField axis="axisCol" outline="0" subtotalTop="0" showAll="0">
      <items count="4">
        <item x="0"/>
        <item x="2"/>
        <item x="1"/>
        <item t="default"/>
      </items>
    </pivotField>
    <pivotField axis="axisRow" outline="0" subtotalTop="0" showAll="0" sortType="descending">
      <items count="10">
        <item x="8"/>
        <item x="1"/>
        <item x="3"/>
        <item x="6"/>
        <item x="5"/>
        <item x="4"/>
        <item x="7"/>
        <item x="2"/>
        <item x="0"/>
        <item t="default"/>
      </items>
    </pivotField>
    <pivotField outline="0" subtotalTop="0" showAll="0"/>
    <pivotField dataField="1" outline="0" subtotalTop="0" showAll="0"/>
    <pivotField axis="axisRow" outline="0" subtotalTop="0" showAll="0" insertBlankRow="1">
      <items count="15">
        <item sd="0" x="0"/>
        <item sd="0" x="1"/>
        <item sd="0" x="2"/>
        <item sd="0" x="3"/>
        <item sd="0" x="4"/>
        <item sd="0" x="5"/>
        <item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dataField="1" outline="0" subtotalTop="0" dragToRow="0" dragToCol="0" dragToPage="0" showAll="0"/>
  </pivotFields>
  <rowFields count="2">
    <field x="8"/>
    <field x="5"/>
  </rowFields>
  <rowItems count="14">
    <i>
      <x v="6"/>
      <x v="1"/>
    </i>
    <i r="1">
      <x v="2"/>
    </i>
    <i r="1">
      <x v="7"/>
    </i>
    <i r="1">
      <x v="8"/>
    </i>
    <i t="default">
      <x v="6"/>
    </i>
    <i t="blank">
      <x v="6"/>
    </i>
    <i>
      <x v="7"/>
      <x/>
    </i>
    <i r="1">
      <x v="3"/>
    </i>
    <i r="1">
      <x v="4"/>
    </i>
    <i r="1">
      <x v="5"/>
    </i>
    <i r="1">
      <x v="6"/>
    </i>
    <i t="default">
      <x v="7"/>
    </i>
    <i t="blank">
      <x v="7"/>
    </i>
    <i t="grand">
      <x/>
    </i>
  </rowItems>
  <colFields count="2">
    <field x="4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합계 : 수강료" fld="7" baseField="0" baseItem="0"/>
    <dataField name="합계 : 예상액" fld="9" baseField="0" baseItem="0"/>
  </dataFields>
  <formats count="3"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>
        <references count="4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  <reference field="8" count="1" selected="0">
            <x v="7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11"/>
  <sheetViews>
    <sheetView tabSelected="1" workbookViewId="0">
      <selection activeCell="L30" sqref="L30"/>
    </sheetView>
  </sheetViews>
  <sheetFormatPr defaultRowHeight="16.5"/>
  <cols>
    <col min="1" max="1" width="3.625" style="2" customWidth="1"/>
    <col min="2" max="2" width="10.25" style="1" customWidth="1"/>
    <col min="3" max="3" width="14.625" style="1" customWidth="1"/>
    <col min="4" max="4" width="9.125" style="12" customWidth="1"/>
    <col min="5" max="5" width="6.375" style="12" customWidth="1"/>
    <col min="6" max="6" width="7.875" style="12" customWidth="1"/>
    <col min="7" max="7" width="11.5" style="12" customWidth="1"/>
    <col min="8" max="8" width="9.125" style="12" bestFit="1" customWidth="1"/>
    <col min="9" max="9" width="11.5" style="12" customWidth="1"/>
    <col min="10" max="10" width="9" style="1"/>
    <col min="11" max="11" width="9.75" style="1" bestFit="1" customWidth="1"/>
    <col min="12" max="16384" width="9" style="1"/>
  </cols>
  <sheetData>
    <row r="1" spans="2:11"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40</v>
      </c>
    </row>
    <row r="2" spans="2:11">
      <c r="B2" s="8" t="s">
        <v>8</v>
      </c>
      <c r="C2" s="9">
        <v>38507</v>
      </c>
      <c r="D2" s="8" t="s">
        <v>9</v>
      </c>
      <c r="E2" s="10">
        <v>2</v>
      </c>
      <c r="F2" s="8" t="s">
        <v>10</v>
      </c>
      <c r="G2" s="8" t="s">
        <v>11</v>
      </c>
      <c r="H2" s="11">
        <v>80000</v>
      </c>
      <c r="I2" s="12">
        <v>7</v>
      </c>
      <c r="K2" s="84"/>
    </row>
    <row r="3" spans="2:11">
      <c r="B3" s="8" t="s">
        <v>52</v>
      </c>
      <c r="C3" s="9">
        <v>38507</v>
      </c>
      <c r="D3" s="8" t="s">
        <v>9</v>
      </c>
      <c r="E3" s="10">
        <v>2</v>
      </c>
      <c r="F3" s="8" t="s">
        <v>10</v>
      </c>
      <c r="G3" s="8" t="s">
        <v>11</v>
      </c>
      <c r="H3" s="11">
        <v>110000</v>
      </c>
      <c r="I3" s="12">
        <v>7</v>
      </c>
      <c r="K3" s="84"/>
    </row>
    <row r="4" spans="2:11">
      <c r="B4" s="8" t="s">
        <v>12</v>
      </c>
      <c r="C4" s="9">
        <v>38445</v>
      </c>
      <c r="D4" s="8" t="s">
        <v>13</v>
      </c>
      <c r="E4" s="10">
        <v>3</v>
      </c>
      <c r="F4" s="8" t="s">
        <v>10</v>
      </c>
      <c r="G4" s="8" t="s">
        <v>14</v>
      </c>
      <c r="H4" s="11">
        <v>120000</v>
      </c>
      <c r="I4" s="12">
        <v>12</v>
      </c>
      <c r="K4" s="84"/>
    </row>
    <row r="5" spans="2:11">
      <c r="B5" s="8" t="s">
        <v>12</v>
      </c>
      <c r="C5" s="9">
        <v>38509</v>
      </c>
      <c r="D5" s="8" t="s">
        <v>15</v>
      </c>
      <c r="E5" s="10">
        <v>3</v>
      </c>
      <c r="F5" s="8" t="s">
        <v>10</v>
      </c>
      <c r="G5" s="8" t="s">
        <v>14</v>
      </c>
      <c r="H5" s="11">
        <v>120000</v>
      </c>
      <c r="I5" s="12">
        <v>1</v>
      </c>
      <c r="K5" s="84"/>
    </row>
    <row r="6" spans="2:11">
      <c r="B6" s="8" t="s">
        <v>12</v>
      </c>
      <c r="C6" s="9">
        <v>38511</v>
      </c>
      <c r="D6" s="8" t="s">
        <v>16</v>
      </c>
      <c r="E6" s="10">
        <v>3</v>
      </c>
      <c r="F6" s="8" t="s">
        <v>10</v>
      </c>
      <c r="G6" s="8" t="s">
        <v>14</v>
      </c>
      <c r="H6" s="11">
        <v>120000</v>
      </c>
      <c r="I6" s="12">
        <v>1</v>
      </c>
      <c r="K6" s="84"/>
    </row>
    <row r="7" spans="2:11">
      <c r="B7" s="8" t="s">
        <v>12</v>
      </c>
      <c r="C7" s="9">
        <v>38386</v>
      </c>
      <c r="D7" s="8" t="s">
        <v>13</v>
      </c>
      <c r="E7" s="10">
        <v>3</v>
      </c>
      <c r="F7" s="8" t="s">
        <v>10</v>
      </c>
      <c r="G7" s="8" t="s">
        <v>14</v>
      </c>
      <c r="H7" s="11">
        <v>120000</v>
      </c>
      <c r="I7" s="12">
        <v>12</v>
      </c>
      <c r="K7" s="84"/>
    </row>
    <row r="8" spans="2:11">
      <c r="B8" s="8" t="s">
        <v>12</v>
      </c>
      <c r="C8" s="9">
        <v>38509</v>
      </c>
      <c r="D8" s="8" t="s">
        <v>15</v>
      </c>
      <c r="E8" s="10">
        <v>3</v>
      </c>
      <c r="F8" s="8" t="s">
        <v>10</v>
      </c>
      <c r="G8" s="8" t="s">
        <v>14</v>
      </c>
      <c r="H8" s="11">
        <v>120000</v>
      </c>
      <c r="I8" s="12">
        <v>1</v>
      </c>
      <c r="K8" s="84"/>
    </row>
    <row r="9" spans="2:11">
      <c r="B9" s="8" t="s">
        <v>17</v>
      </c>
      <c r="C9" s="9">
        <v>38612</v>
      </c>
      <c r="D9" s="8" t="s">
        <v>0</v>
      </c>
      <c r="E9" s="10">
        <v>1</v>
      </c>
      <c r="F9" s="8" t="s">
        <v>18</v>
      </c>
      <c r="G9" s="8" t="s">
        <v>19</v>
      </c>
      <c r="H9" s="11">
        <v>100000</v>
      </c>
      <c r="I9" s="12">
        <v>9</v>
      </c>
      <c r="K9" s="84"/>
    </row>
    <row r="10" spans="2:11">
      <c r="B10" s="8" t="s">
        <v>53</v>
      </c>
      <c r="C10" s="9">
        <v>38527</v>
      </c>
      <c r="D10" s="8" t="s">
        <v>20</v>
      </c>
      <c r="E10" s="10">
        <v>1</v>
      </c>
      <c r="F10" s="8" t="s">
        <v>18</v>
      </c>
      <c r="G10" s="8" t="s">
        <v>19</v>
      </c>
      <c r="H10" s="11">
        <v>100000</v>
      </c>
      <c r="I10" s="12">
        <v>1</v>
      </c>
      <c r="K10" s="84"/>
    </row>
    <row r="11" spans="2:11">
      <c r="B11" s="13" t="s">
        <v>21</v>
      </c>
      <c r="C11" s="9">
        <v>38504</v>
      </c>
      <c r="D11" s="13" t="s">
        <v>22</v>
      </c>
      <c r="E11" s="14">
        <v>1</v>
      </c>
      <c r="F11" s="13" t="s">
        <v>23</v>
      </c>
      <c r="G11" s="13" t="s">
        <v>24</v>
      </c>
      <c r="H11" s="15">
        <v>90000</v>
      </c>
      <c r="I11" s="12">
        <v>3</v>
      </c>
      <c r="K11" s="84"/>
    </row>
    <row r="12" spans="2:11">
      <c r="B12" s="13" t="s">
        <v>21</v>
      </c>
      <c r="C12" s="9">
        <v>38510</v>
      </c>
      <c r="D12" s="13" t="s">
        <v>25</v>
      </c>
      <c r="E12" s="14">
        <v>1</v>
      </c>
      <c r="F12" s="13" t="s">
        <v>23</v>
      </c>
      <c r="G12" s="13" t="s">
        <v>24</v>
      </c>
      <c r="H12" s="15">
        <v>90000</v>
      </c>
      <c r="I12" s="12">
        <v>1</v>
      </c>
      <c r="K12" s="84"/>
    </row>
    <row r="13" spans="2:11">
      <c r="B13" s="13" t="s">
        <v>21</v>
      </c>
      <c r="C13" s="9">
        <v>38510</v>
      </c>
      <c r="D13" s="13" t="s">
        <v>25</v>
      </c>
      <c r="E13" s="14">
        <v>1</v>
      </c>
      <c r="F13" s="13" t="s">
        <v>23</v>
      </c>
      <c r="G13" s="13" t="s">
        <v>24</v>
      </c>
      <c r="H13" s="15">
        <v>90000</v>
      </c>
      <c r="I13" s="12">
        <v>1</v>
      </c>
      <c r="K13" s="84"/>
    </row>
    <row r="14" spans="2:11">
      <c r="B14" s="13" t="s">
        <v>21</v>
      </c>
      <c r="C14" s="9">
        <v>38522</v>
      </c>
      <c r="D14" s="13" t="s">
        <v>26</v>
      </c>
      <c r="E14" s="14">
        <v>1</v>
      </c>
      <c r="F14" s="13" t="s">
        <v>23</v>
      </c>
      <c r="G14" s="13" t="s">
        <v>24</v>
      </c>
      <c r="H14" s="15">
        <v>90000</v>
      </c>
      <c r="I14" s="12">
        <v>3</v>
      </c>
      <c r="K14" s="84"/>
    </row>
    <row r="15" spans="2:11">
      <c r="B15" s="13" t="s">
        <v>21</v>
      </c>
      <c r="C15" s="9">
        <v>38526</v>
      </c>
      <c r="D15" s="13" t="s">
        <v>27</v>
      </c>
      <c r="E15" s="14">
        <v>1</v>
      </c>
      <c r="F15" s="13" t="s">
        <v>23</v>
      </c>
      <c r="G15" s="13" t="s">
        <v>24</v>
      </c>
      <c r="H15" s="15">
        <v>90000</v>
      </c>
      <c r="I15" s="12">
        <v>2</v>
      </c>
    </row>
    <row r="16" spans="2:11">
      <c r="B16" s="8" t="s">
        <v>28</v>
      </c>
      <c r="C16" s="9">
        <v>38877</v>
      </c>
      <c r="D16" s="8" t="s">
        <v>29</v>
      </c>
      <c r="E16" s="10">
        <v>2</v>
      </c>
      <c r="F16" s="8" t="s">
        <v>23</v>
      </c>
      <c r="G16" s="8" t="s">
        <v>30</v>
      </c>
      <c r="H16" s="11">
        <v>100000</v>
      </c>
      <c r="I16" s="12">
        <v>1</v>
      </c>
    </row>
    <row r="17" spans="2:9">
      <c r="B17" s="8" t="s">
        <v>28</v>
      </c>
      <c r="C17" s="9">
        <v>38886</v>
      </c>
      <c r="D17" s="8" t="s">
        <v>31</v>
      </c>
      <c r="E17" s="10">
        <v>2</v>
      </c>
      <c r="F17" s="8" t="s">
        <v>23</v>
      </c>
      <c r="G17" s="8" t="s">
        <v>30</v>
      </c>
      <c r="H17" s="11">
        <v>100000</v>
      </c>
      <c r="I17" s="12">
        <v>6</v>
      </c>
    </row>
    <row r="18" spans="2:9">
      <c r="B18" s="8" t="s">
        <v>32</v>
      </c>
      <c r="C18" s="9">
        <v>38870</v>
      </c>
      <c r="D18" s="8" t="s">
        <v>33</v>
      </c>
      <c r="E18" s="10">
        <v>3</v>
      </c>
      <c r="F18" s="8" t="s">
        <v>23</v>
      </c>
      <c r="G18" s="8" t="s">
        <v>34</v>
      </c>
      <c r="H18" s="11">
        <v>110000</v>
      </c>
      <c r="I18" s="12">
        <v>5</v>
      </c>
    </row>
    <row r="19" spans="2:9">
      <c r="B19" s="8" t="s">
        <v>32</v>
      </c>
      <c r="C19" s="9">
        <v>39238</v>
      </c>
      <c r="D19" s="8" t="s">
        <v>35</v>
      </c>
      <c r="E19" s="10">
        <v>3</v>
      </c>
      <c r="F19" s="8" t="s">
        <v>23</v>
      </c>
      <c r="G19" s="8" t="s">
        <v>34</v>
      </c>
      <c r="H19" s="11">
        <v>110000</v>
      </c>
      <c r="I19" s="12">
        <v>5</v>
      </c>
    </row>
    <row r="20" spans="2:9">
      <c r="B20" s="8" t="s">
        <v>32</v>
      </c>
      <c r="C20" s="9">
        <v>39235</v>
      </c>
      <c r="D20" s="8" t="s">
        <v>33</v>
      </c>
      <c r="E20" s="10">
        <v>3</v>
      </c>
      <c r="F20" s="8" t="s">
        <v>23</v>
      </c>
      <c r="G20" s="8" t="s">
        <v>34</v>
      </c>
      <c r="H20" s="11">
        <v>110000</v>
      </c>
      <c r="I20" s="12">
        <v>5</v>
      </c>
    </row>
    <row r="21" spans="2:9">
      <c r="B21" s="8" t="s">
        <v>32</v>
      </c>
      <c r="C21" s="9">
        <v>39603</v>
      </c>
      <c r="D21" s="8" t="s">
        <v>35</v>
      </c>
      <c r="E21" s="10">
        <v>3</v>
      </c>
      <c r="F21" s="8" t="s">
        <v>23</v>
      </c>
      <c r="G21" s="8" t="s">
        <v>34</v>
      </c>
      <c r="H21" s="11">
        <v>110000</v>
      </c>
      <c r="I21" s="12">
        <v>5</v>
      </c>
    </row>
    <row r="22" spans="2:9">
      <c r="B22" s="8" t="s">
        <v>36</v>
      </c>
      <c r="C22" s="9">
        <v>39740</v>
      </c>
      <c r="D22" s="8" t="s">
        <v>37</v>
      </c>
      <c r="E22" s="10">
        <v>3</v>
      </c>
      <c r="F22" s="8" t="s">
        <v>38</v>
      </c>
      <c r="G22" s="8" t="s">
        <v>39</v>
      </c>
      <c r="H22" s="11">
        <v>110000</v>
      </c>
      <c r="I22" s="12">
        <v>14</v>
      </c>
    </row>
    <row r="23" spans="2:9">
      <c r="B23" s="8" t="s">
        <v>41</v>
      </c>
      <c r="C23" s="9">
        <v>39653</v>
      </c>
      <c r="D23" s="8" t="s">
        <v>42</v>
      </c>
      <c r="E23" s="10">
        <v>2</v>
      </c>
      <c r="F23" s="8" t="s">
        <v>43</v>
      </c>
      <c r="G23" s="8" t="s">
        <v>44</v>
      </c>
      <c r="H23" s="11">
        <v>100000</v>
      </c>
      <c r="I23" s="12">
        <v>5</v>
      </c>
    </row>
    <row r="24" spans="2:9">
      <c r="B24" s="8" t="s">
        <v>45</v>
      </c>
      <c r="C24" s="9">
        <v>39641</v>
      </c>
      <c r="D24" s="8" t="s">
        <v>46</v>
      </c>
      <c r="E24" s="10">
        <v>1</v>
      </c>
      <c r="F24" s="8" t="s">
        <v>47</v>
      </c>
      <c r="G24" s="8" t="s">
        <v>48</v>
      </c>
      <c r="H24" s="11">
        <v>90000</v>
      </c>
      <c r="I24" s="12">
        <v>3</v>
      </c>
    </row>
    <row r="25" spans="2:9">
      <c r="B25" s="8" t="s">
        <v>54</v>
      </c>
      <c r="C25" s="9">
        <v>39784</v>
      </c>
      <c r="D25" s="8" t="s">
        <v>49</v>
      </c>
      <c r="E25" s="10">
        <v>3</v>
      </c>
      <c r="F25" s="8" t="s">
        <v>47</v>
      </c>
      <c r="G25" s="8" t="s">
        <v>48</v>
      </c>
      <c r="H25" s="11">
        <v>170000</v>
      </c>
      <c r="I25" s="12">
        <v>4</v>
      </c>
    </row>
    <row r="26" spans="2:9">
      <c r="B26" s="8" t="s">
        <v>45</v>
      </c>
      <c r="C26" s="9">
        <v>39643</v>
      </c>
      <c r="D26" s="8" t="s">
        <v>50</v>
      </c>
      <c r="E26" s="10">
        <v>2</v>
      </c>
      <c r="F26" s="8" t="s">
        <v>47</v>
      </c>
      <c r="G26" s="8" t="s">
        <v>48</v>
      </c>
      <c r="H26" s="11">
        <v>100000</v>
      </c>
      <c r="I26" s="12">
        <v>5</v>
      </c>
    </row>
    <row r="27" spans="2:9">
      <c r="B27" s="8" t="s">
        <v>45</v>
      </c>
      <c r="C27" s="9">
        <v>39644</v>
      </c>
      <c r="D27" s="8" t="s">
        <v>51</v>
      </c>
      <c r="E27" s="10">
        <v>1</v>
      </c>
      <c r="F27" s="8" t="s">
        <v>47</v>
      </c>
      <c r="G27" s="8" t="s">
        <v>48</v>
      </c>
      <c r="H27" s="11">
        <v>90000</v>
      </c>
      <c r="I27" s="12">
        <v>8</v>
      </c>
    </row>
    <row r="28" spans="2:9">
      <c r="H28" s="16"/>
      <c r="I28" s="16"/>
    </row>
    <row r="29" spans="2:9">
      <c r="G29" s="81"/>
    </row>
    <row r="30" spans="2:9" ht="33">
      <c r="B30" s="7" t="s">
        <v>184</v>
      </c>
      <c r="C30" s="1" t="s">
        <v>185</v>
      </c>
      <c r="D30" s="83" t="s">
        <v>186</v>
      </c>
      <c r="F30" s="83" t="s">
        <v>188</v>
      </c>
      <c r="G30" s="82" t="s">
        <v>187</v>
      </c>
    </row>
    <row r="31" spans="2:9">
      <c r="B31" s="1" t="b">
        <f>VALUE(RIGHT(B2,3))&lt;100</f>
        <v>0</v>
      </c>
      <c r="F31" s="12" t="b">
        <f>RIGHT(B2,3)&lt;"100"</f>
        <v>0</v>
      </c>
    </row>
    <row r="32" spans="2:9">
      <c r="C32" s="1" t="b">
        <f>YEAR(C2)&gt;=2006</f>
        <v>0</v>
      </c>
      <c r="D32" s="12" t="b">
        <f>YEAR(C2)&lt;=2008</f>
        <v>1</v>
      </c>
      <c r="G32" s="12" t="b">
        <f>AND(YEAR(C2)&gt;=2006,YEAR(C2)&lt;=2008)</f>
        <v>0</v>
      </c>
    </row>
    <row r="34" spans="2:9">
      <c r="B34" s="12" t="s">
        <v>189</v>
      </c>
    </row>
    <row r="36" spans="2:9">
      <c r="B36" s="7" t="s">
        <v>1</v>
      </c>
      <c r="C36" s="7" t="s">
        <v>2</v>
      </c>
      <c r="D36" s="7" t="s">
        <v>3</v>
      </c>
      <c r="E36" s="7" t="s">
        <v>4</v>
      </c>
      <c r="F36" s="7" t="s">
        <v>5</v>
      </c>
      <c r="G36" s="7" t="s">
        <v>6</v>
      </c>
      <c r="H36" s="7" t="s">
        <v>7</v>
      </c>
      <c r="I36" s="7" t="s">
        <v>40</v>
      </c>
    </row>
    <row r="37" spans="2:9">
      <c r="B37" s="8" t="s">
        <v>52</v>
      </c>
      <c r="C37" s="9">
        <v>38507</v>
      </c>
      <c r="D37" s="8" t="s">
        <v>9</v>
      </c>
      <c r="E37" s="10">
        <v>2</v>
      </c>
      <c r="F37" s="8" t="s">
        <v>10</v>
      </c>
      <c r="G37" s="8" t="s">
        <v>11</v>
      </c>
      <c r="H37" s="11">
        <v>110000</v>
      </c>
      <c r="I37" s="12">
        <v>7</v>
      </c>
    </row>
    <row r="38" spans="2:9">
      <c r="B38" s="8" t="s">
        <v>53</v>
      </c>
      <c r="C38" s="9">
        <v>38527</v>
      </c>
      <c r="D38" s="8" t="s">
        <v>20</v>
      </c>
      <c r="E38" s="10">
        <v>1</v>
      </c>
      <c r="F38" s="8" t="s">
        <v>18</v>
      </c>
      <c r="G38" s="8" t="s">
        <v>19</v>
      </c>
      <c r="H38" s="11">
        <v>100000</v>
      </c>
      <c r="I38" s="12">
        <v>1</v>
      </c>
    </row>
    <row r="39" spans="2:9">
      <c r="B39" s="8" t="s">
        <v>28</v>
      </c>
      <c r="C39" s="9">
        <v>38877</v>
      </c>
      <c r="D39" s="8" t="s">
        <v>29</v>
      </c>
      <c r="E39" s="10">
        <v>2</v>
      </c>
      <c r="F39" s="8" t="s">
        <v>23</v>
      </c>
      <c r="G39" s="8" t="s">
        <v>30</v>
      </c>
      <c r="H39" s="11">
        <v>100000</v>
      </c>
      <c r="I39" s="12">
        <v>1</v>
      </c>
    </row>
    <row r="40" spans="2:9">
      <c r="B40" s="8" t="s">
        <v>28</v>
      </c>
      <c r="C40" s="9">
        <v>38886</v>
      </c>
      <c r="D40" s="8" t="s">
        <v>31</v>
      </c>
      <c r="E40" s="10">
        <v>2</v>
      </c>
      <c r="F40" s="8" t="s">
        <v>23</v>
      </c>
      <c r="G40" s="8" t="s">
        <v>30</v>
      </c>
      <c r="H40" s="11">
        <v>100000</v>
      </c>
      <c r="I40" s="12">
        <v>6</v>
      </c>
    </row>
    <row r="41" spans="2:9">
      <c r="B41" s="8" t="s">
        <v>32</v>
      </c>
      <c r="C41" s="9">
        <v>38870</v>
      </c>
      <c r="D41" s="8" t="s">
        <v>33</v>
      </c>
      <c r="E41" s="10">
        <v>3</v>
      </c>
      <c r="F41" s="8" t="s">
        <v>23</v>
      </c>
      <c r="G41" s="8" t="s">
        <v>34</v>
      </c>
      <c r="H41" s="11">
        <v>110000</v>
      </c>
      <c r="I41" s="12">
        <v>5</v>
      </c>
    </row>
    <row r="42" spans="2:9">
      <c r="B42" s="8" t="s">
        <v>32</v>
      </c>
      <c r="C42" s="9">
        <v>39238</v>
      </c>
      <c r="D42" s="8" t="s">
        <v>35</v>
      </c>
      <c r="E42" s="10">
        <v>3</v>
      </c>
      <c r="F42" s="8" t="s">
        <v>23</v>
      </c>
      <c r="G42" s="8" t="s">
        <v>34</v>
      </c>
      <c r="H42" s="11">
        <v>110000</v>
      </c>
      <c r="I42" s="12">
        <v>5</v>
      </c>
    </row>
    <row r="43" spans="2:9">
      <c r="B43" s="8" t="s">
        <v>32</v>
      </c>
      <c r="C43" s="9">
        <v>39235</v>
      </c>
      <c r="D43" s="8" t="s">
        <v>33</v>
      </c>
      <c r="E43" s="10">
        <v>3</v>
      </c>
      <c r="F43" s="8" t="s">
        <v>23</v>
      </c>
      <c r="G43" s="8" t="s">
        <v>34</v>
      </c>
      <c r="H43" s="11">
        <v>110000</v>
      </c>
      <c r="I43" s="12">
        <v>5</v>
      </c>
    </row>
    <row r="44" spans="2:9">
      <c r="B44" s="8" t="s">
        <v>32</v>
      </c>
      <c r="C44" s="9">
        <v>39603</v>
      </c>
      <c r="D44" s="8" t="s">
        <v>35</v>
      </c>
      <c r="E44" s="10">
        <v>3</v>
      </c>
      <c r="F44" s="8" t="s">
        <v>23</v>
      </c>
      <c r="G44" s="8" t="s">
        <v>34</v>
      </c>
      <c r="H44" s="11">
        <v>110000</v>
      </c>
      <c r="I44" s="12">
        <v>5</v>
      </c>
    </row>
    <row r="45" spans="2:9">
      <c r="B45" s="8" t="s">
        <v>36</v>
      </c>
      <c r="C45" s="9">
        <v>39740</v>
      </c>
      <c r="D45" s="8" t="s">
        <v>37</v>
      </c>
      <c r="E45" s="10">
        <v>3</v>
      </c>
      <c r="F45" s="8" t="s">
        <v>38</v>
      </c>
      <c r="G45" s="8" t="s">
        <v>39</v>
      </c>
      <c r="H45" s="11">
        <v>110000</v>
      </c>
      <c r="I45" s="12">
        <v>14</v>
      </c>
    </row>
    <row r="46" spans="2:9">
      <c r="B46" s="8" t="s">
        <v>41</v>
      </c>
      <c r="C46" s="9">
        <v>39653</v>
      </c>
      <c r="D46" s="8" t="s">
        <v>42</v>
      </c>
      <c r="E46" s="10">
        <v>2</v>
      </c>
      <c r="F46" s="8" t="s">
        <v>43</v>
      </c>
      <c r="G46" s="8" t="s">
        <v>44</v>
      </c>
      <c r="H46" s="11">
        <v>100000</v>
      </c>
      <c r="I46" s="12">
        <v>5</v>
      </c>
    </row>
    <row r="47" spans="2:9">
      <c r="B47" s="8" t="s">
        <v>45</v>
      </c>
      <c r="C47" s="9">
        <v>39641</v>
      </c>
      <c r="D47" s="8" t="s">
        <v>46</v>
      </c>
      <c r="E47" s="10">
        <v>1</v>
      </c>
      <c r="F47" s="8" t="s">
        <v>47</v>
      </c>
      <c r="G47" s="8" t="s">
        <v>48</v>
      </c>
      <c r="H47" s="11">
        <v>90000</v>
      </c>
      <c r="I47" s="12">
        <v>3</v>
      </c>
    </row>
    <row r="48" spans="2:9">
      <c r="B48" s="8" t="s">
        <v>54</v>
      </c>
      <c r="C48" s="9">
        <v>39784</v>
      </c>
      <c r="D48" s="8" t="s">
        <v>49</v>
      </c>
      <c r="E48" s="10">
        <v>3</v>
      </c>
      <c r="F48" s="8" t="s">
        <v>47</v>
      </c>
      <c r="G48" s="8" t="s">
        <v>48</v>
      </c>
      <c r="H48" s="11">
        <v>170000</v>
      </c>
      <c r="I48" s="12">
        <v>4</v>
      </c>
    </row>
    <row r="49" spans="2:9">
      <c r="B49" s="8" t="s">
        <v>45</v>
      </c>
      <c r="C49" s="9">
        <v>39643</v>
      </c>
      <c r="D49" s="8" t="s">
        <v>50</v>
      </c>
      <c r="E49" s="10">
        <v>2</v>
      </c>
      <c r="F49" s="8" t="s">
        <v>47</v>
      </c>
      <c r="G49" s="8" t="s">
        <v>48</v>
      </c>
      <c r="H49" s="11">
        <v>100000</v>
      </c>
      <c r="I49" s="12">
        <v>5</v>
      </c>
    </row>
    <row r="50" spans="2:9">
      <c r="B50" s="8" t="s">
        <v>45</v>
      </c>
      <c r="C50" s="9">
        <v>39644</v>
      </c>
      <c r="D50" s="8" t="s">
        <v>51</v>
      </c>
      <c r="E50" s="10">
        <v>1</v>
      </c>
      <c r="F50" s="8" t="s">
        <v>47</v>
      </c>
      <c r="G50" s="8" t="s">
        <v>48</v>
      </c>
      <c r="H50" s="11">
        <v>90000</v>
      </c>
      <c r="I50" s="12">
        <v>8</v>
      </c>
    </row>
    <row r="204" spans="2:9">
      <c r="B204" s="7"/>
      <c r="C204" s="7"/>
      <c r="D204" s="17"/>
      <c r="E204" s="17"/>
      <c r="F204" s="17"/>
      <c r="G204" s="17"/>
      <c r="H204" s="17"/>
      <c r="I204" s="18"/>
    </row>
    <row r="205" spans="2:9">
      <c r="B205" s="8"/>
      <c r="C205" s="9"/>
      <c r="D205" s="8"/>
      <c r="E205" s="10"/>
      <c r="F205" s="8"/>
      <c r="G205" s="8"/>
      <c r="H205" s="10"/>
    </row>
    <row r="206" spans="2:9">
      <c r="B206" s="8"/>
      <c r="C206" s="9"/>
      <c r="D206" s="8"/>
      <c r="E206" s="10"/>
      <c r="F206" s="8"/>
      <c r="G206" s="8"/>
      <c r="H206" s="10"/>
    </row>
    <row r="207" spans="2:9">
      <c r="B207" s="8"/>
      <c r="C207" s="9"/>
      <c r="D207" s="8"/>
      <c r="E207" s="10"/>
      <c r="F207" s="8"/>
      <c r="G207" s="8"/>
      <c r="H207" s="10"/>
    </row>
    <row r="208" spans="2:9">
      <c r="B208" s="8"/>
      <c r="C208" s="9"/>
      <c r="D208" s="8"/>
      <c r="E208" s="10"/>
      <c r="F208" s="8"/>
      <c r="G208" s="8"/>
      <c r="H208" s="10"/>
    </row>
    <row r="209" spans="2:8">
      <c r="B209" s="13"/>
      <c r="C209" s="9"/>
      <c r="D209" s="13"/>
      <c r="E209" s="14"/>
      <c r="F209" s="13"/>
      <c r="G209" s="13"/>
      <c r="H209" s="14"/>
    </row>
    <row r="210" spans="2:8">
      <c r="B210" s="13"/>
      <c r="C210" s="9"/>
      <c r="D210" s="13"/>
      <c r="E210" s="14"/>
      <c r="F210" s="13"/>
      <c r="G210" s="13"/>
      <c r="H210" s="14"/>
    </row>
    <row r="211" spans="2:8">
      <c r="B211" s="13"/>
      <c r="C211" s="9"/>
      <c r="D211" s="13"/>
      <c r="E211" s="14"/>
      <c r="F211" s="13"/>
      <c r="G211" s="13"/>
      <c r="H211" s="14"/>
    </row>
  </sheetData>
  <phoneticPr fontId="1" type="noConversion"/>
  <conditionalFormatting sqref="B2:I27">
    <cfRule type="expression" dxfId="6" priority="1">
      <formula>OR(MOD(MONTH($C2),2)=1,LEN($I2)&gt;=2)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&amp;C&amp;P/&amp;N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R51"/>
  <sheetViews>
    <sheetView workbookViewId="0">
      <selection activeCell="N20" sqref="N20"/>
    </sheetView>
  </sheetViews>
  <sheetFormatPr defaultRowHeight="16.5"/>
  <cols>
    <col min="1" max="1" width="2.375" style="4" customWidth="1"/>
    <col min="2" max="2" width="12.875" style="24" customWidth="1"/>
    <col min="3" max="3" width="9.5" style="25" customWidth="1"/>
    <col min="4" max="4" width="9.25" style="3" customWidth="1"/>
    <col min="5" max="5" width="10.625" style="3" hidden="1" customWidth="1"/>
    <col min="6" max="6" width="9.75" style="3" customWidth="1"/>
    <col min="7" max="7" width="11.125" style="3" customWidth="1"/>
    <col min="8" max="8" width="12.375" style="26" customWidth="1"/>
    <col min="9" max="9" width="11.625" style="4" customWidth="1"/>
    <col min="10" max="10" width="14.25" style="4" customWidth="1"/>
    <col min="11" max="11" width="9" style="4" customWidth="1"/>
    <col min="12" max="12" width="7.875" style="4" customWidth="1"/>
    <col min="13" max="13" width="9" style="4"/>
    <col min="14" max="14" width="9.75" style="4" customWidth="1"/>
    <col min="15" max="15" width="11" style="4" bestFit="1" customWidth="1"/>
    <col min="16" max="16384" width="9" style="4"/>
  </cols>
  <sheetData>
    <row r="1" spans="2:16">
      <c r="B1" s="4" t="s">
        <v>83</v>
      </c>
      <c r="C1" s="4"/>
      <c r="D1" s="4"/>
      <c r="E1" s="4"/>
      <c r="F1" s="4"/>
      <c r="G1" s="4"/>
      <c r="H1" s="4"/>
    </row>
    <row r="2" spans="2:16">
      <c r="B2" s="27" t="s">
        <v>89</v>
      </c>
      <c r="C2" s="27" t="s">
        <v>78</v>
      </c>
      <c r="D2" s="27" t="s">
        <v>79</v>
      </c>
      <c r="E2" s="27" t="s">
        <v>80</v>
      </c>
      <c r="F2" s="27" t="s">
        <v>81</v>
      </c>
      <c r="G2" s="27" t="s">
        <v>113</v>
      </c>
      <c r="H2" s="38" t="s">
        <v>82</v>
      </c>
      <c r="I2" s="39" t="s">
        <v>95</v>
      </c>
      <c r="J2" s="39" t="s">
        <v>114</v>
      </c>
    </row>
    <row r="3" spans="2:16">
      <c r="B3" s="19">
        <v>1</v>
      </c>
      <c r="C3" s="21" t="s">
        <v>21</v>
      </c>
      <c r="D3" s="21" t="s">
        <v>22</v>
      </c>
      <c r="E3" s="21">
        <v>1</v>
      </c>
      <c r="F3" s="21" t="s">
        <v>23</v>
      </c>
      <c r="G3" s="21">
        <v>100</v>
      </c>
      <c r="H3" s="22">
        <v>90000</v>
      </c>
      <c r="I3" s="86">
        <f>HLOOKUP(B3,$C$43:$E$48,MATCH(F3,$B$45:$B$48,0)+2,1) * H3</f>
        <v>40500</v>
      </c>
      <c r="J3" s="6" t="str">
        <f>fn등급(F3,G3)</f>
        <v>등급 대상 아님</v>
      </c>
    </row>
    <row r="4" spans="2:16">
      <c r="B4" s="19">
        <v>2</v>
      </c>
      <c r="C4" s="20" t="s">
        <v>32</v>
      </c>
      <c r="D4" s="20" t="s">
        <v>33</v>
      </c>
      <c r="E4" s="20">
        <v>3</v>
      </c>
      <c r="F4" s="20" t="s">
        <v>23</v>
      </c>
      <c r="G4" s="20">
        <v>87</v>
      </c>
      <c r="H4" s="23">
        <v>110000</v>
      </c>
      <c r="I4" s="86">
        <f t="shared" ref="I4:I32" si="0">HLOOKUP(B4,$C$43:$E$48,MATCH(F4,$B$45:$B$48,0)+2,1) * H4</f>
        <v>49500</v>
      </c>
      <c r="J4" s="6" t="str">
        <f t="shared" ref="J4:J32" si="1">fn등급(F4,G4)</f>
        <v>등급 대상 아님</v>
      </c>
    </row>
    <row r="5" spans="2:16">
      <c r="B5" s="19">
        <v>3</v>
      </c>
      <c r="C5" s="20" t="s">
        <v>12</v>
      </c>
      <c r="D5" s="20" t="s">
        <v>13</v>
      </c>
      <c r="E5" s="20">
        <v>3</v>
      </c>
      <c r="F5" s="20" t="s">
        <v>10</v>
      </c>
      <c r="G5" s="20">
        <v>90</v>
      </c>
      <c r="H5" s="23">
        <v>120000</v>
      </c>
      <c r="I5" s="86">
        <f t="shared" si="0"/>
        <v>48000</v>
      </c>
      <c r="J5" s="6" t="str">
        <f t="shared" si="1"/>
        <v>수</v>
      </c>
      <c r="M5" s="4" t="s">
        <v>106</v>
      </c>
    </row>
    <row r="6" spans="2:16">
      <c r="B6" s="19">
        <v>4</v>
      </c>
      <c r="C6" s="20" t="s">
        <v>8</v>
      </c>
      <c r="D6" s="20" t="s">
        <v>9</v>
      </c>
      <c r="E6" s="20">
        <v>2</v>
      </c>
      <c r="F6" s="20" t="s">
        <v>10</v>
      </c>
      <c r="G6" s="20">
        <v>56</v>
      </c>
      <c r="H6" s="23">
        <v>110000</v>
      </c>
      <c r="I6" s="86">
        <f t="shared" si="0"/>
        <v>44000</v>
      </c>
      <c r="J6" s="6" t="str">
        <f t="shared" si="1"/>
        <v>가</v>
      </c>
      <c r="M6" s="27" t="s">
        <v>78</v>
      </c>
      <c r="N6" s="39" t="s">
        <v>97</v>
      </c>
      <c r="O6" s="4" t="s">
        <v>193</v>
      </c>
    </row>
    <row r="7" spans="2:16">
      <c r="B7" s="19">
        <v>5</v>
      </c>
      <c r="C7" s="20" t="s">
        <v>32</v>
      </c>
      <c r="D7" s="20" t="s">
        <v>35</v>
      </c>
      <c r="E7" s="20">
        <v>3</v>
      </c>
      <c r="F7" s="20" t="s">
        <v>23</v>
      </c>
      <c r="G7" s="20">
        <v>64</v>
      </c>
      <c r="H7" s="23">
        <v>110000</v>
      </c>
      <c r="I7" s="86">
        <f t="shared" si="0"/>
        <v>49500</v>
      </c>
      <c r="J7" s="6" t="str">
        <f t="shared" si="1"/>
        <v>등급 대상 아님</v>
      </c>
      <c r="M7" s="40" t="s">
        <v>98</v>
      </c>
      <c r="N7" s="6" t="str">
        <f t="array" ref="N7">COUNT(IF($C$3:$C$32=M7,$G$3:$G$32))&amp;"명"</f>
        <v>1명</v>
      </c>
      <c r="O7" s="4" t="str">
        <f t="array" ref="O7">COUNT(IF($C$3:$C$32=M7,1))&amp;"명"</f>
        <v>1명</v>
      </c>
      <c r="P7" s="4" t="s">
        <v>194</v>
      </c>
    </row>
    <row r="8" spans="2:16">
      <c r="B8" s="19">
        <v>6</v>
      </c>
      <c r="C8" s="20" t="s">
        <v>12</v>
      </c>
      <c r="D8" s="20" t="s">
        <v>15</v>
      </c>
      <c r="E8" s="20">
        <v>3</v>
      </c>
      <c r="F8" s="20" t="s">
        <v>10</v>
      </c>
      <c r="G8" s="20">
        <v>75</v>
      </c>
      <c r="H8" s="23">
        <v>120000</v>
      </c>
      <c r="I8" s="86">
        <f t="shared" si="0"/>
        <v>48000</v>
      </c>
      <c r="J8" s="6" t="str">
        <f t="shared" si="1"/>
        <v>미</v>
      </c>
      <c r="M8" s="40" t="s">
        <v>99</v>
      </c>
      <c r="N8" s="6" t="str">
        <f t="array" ref="N8">COUNT(IF($C$3:$C$32=M8,$G$3:$G$32))&amp;"명"</f>
        <v>3명</v>
      </c>
      <c r="O8" s="4" t="str">
        <f t="array" ref="O8">COUNT(IF($C$3:$C$32=M8,1))&amp;"명"</f>
        <v>3명</v>
      </c>
    </row>
    <row r="9" spans="2:16">
      <c r="B9" s="19">
        <v>7</v>
      </c>
      <c r="C9" s="20" t="s">
        <v>21</v>
      </c>
      <c r="D9" s="20" t="s">
        <v>25</v>
      </c>
      <c r="E9" s="20">
        <v>1</v>
      </c>
      <c r="F9" s="20" t="s">
        <v>23</v>
      </c>
      <c r="G9" s="20">
        <v>96</v>
      </c>
      <c r="H9" s="23">
        <v>90000</v>
      </c>
      <c r="I9" s="86">
        <f t="shared" si="0"/>
        <v>40500</v>
      </c>
      <c r="J9" s="6" t="str">
        <f t="shared" si="1"/>
        <v>등급 대상 아님</v>
      </c>
      <c r="M9" s="40" t="s">
        <v>12</v>
      </c>
      <c r="N9" s="6" t="str">
        <f t="array" ref="N9">COUNT(IF($C$3:$C$32=M9,$G$3:$G$32))&amp;"명"</f>
        <v>4명</v>
      </c>
      <c r="O9" s="4" t="str">
        <f t="array" ref="O9">COUNT(IF($C$3:$C$32=M9,1))&amp;"명"</f>
        <v>4명</v>
      </c>
    </row>
    <row r="10" spans="2:16">
      <c r="B10" s="19">
        <v>8</v>
      </c>
      <c r="C10" s="20" t="s">
        <v>12</v>
      </c>
      <c r="D10" s="20" t="s">
        <v>16</v>
      </c>
      <c r="E10" s="20">
        <v>3</v>
      </c>
      <c r="F10" s="20" t="s">
        <v>10</v>
      </c>
      <c r="G10" s="20">
        <v>45</v>
      </c>
      <c r="H10" s="23">
        <v>120000</v>
      </c>
      <c r="I10" s="86">
        <f t="shared" si="0"/>
        <v>48000</v>
      </c>
      <c r="J10" s="6" t="str">
        <f t="shared" si="1"/>
        <v>가</v>
      </c>
      <c r="M10" s="40" t="s">
        <v>100</v>
      </c>
      <c r="N10" s="6" t="str">
        <f t="array" ref="N10">COUNT(IF($C$3:$C$32=M10,$G$3:$G$32))&amp;"명"</f>
        <v>2명</v>
      </c>
      <c r="O10" s="4" t="str">
        <f t="array" ref="O10">COUNT(IF($C$3:$C$32=M10,1))&amp;"명"</f>
        <v>2명</v>
      </c>
    </row>
    <row r="11" spans="2:16">
      <c r="B11" s="19">
        <v>9</v>
      </c>
      <c r="C11" s="20" t="s">
        <v>28</v>
      </c>
      <c r="D11" s="20" t="s">
        <v>29</v>
      </c>
      <c r="E11" s="20">
        <v>2</v>
      </c>
      <c r="F11" s="20" t="s">
        <v>23</v>
      </c>
      <c r="G11" s="20">
        <v>76</v>
      </c>
      <c r="H11" s="23">
        <v>100000</v>
      </c>
      <c r="I11" s="86">
        <f t="shared" si="0"/>
        <v>45000</v>
      </c>
      <c r="J11" s="6" t="str">
        <f t="shared" si="1"/>
        <v>등급 대상 아님</v>
      </c>
      <c r="M11" s="40" t="s">
        <v>68</v>
      </c>
      <c r="N11" s="6" t="str">
        <f t="array" ref="N11">COUNT(IF($C$3:$C$32=M11,$G$3:$G$32))&amp;"명"</f>
        <v>1명</v>
      </c>
      <c r="O11" s="4" t="str">
        <f t="array" ref="O11">COUNT(IF($C$3:$C$32=M11,1))&amp;"명"</f>
        <v>1명</v>
      </c>
    </row>
    <row r="12" spans="2:16">
      <c r="B12" s="19">
        <v>10</v>
      </c>
      <c r="C12" s="20" t="s">
        <v>36</v>
      </c>
      <c r="D12" s="20" t="s">
        <v>55</v>
      </c>
      <c r="E12" s="20">
        <v>3</v>
      </c>
      <c r="F12" s="20" t="s">
        <v>38</v>
      </c>
      <c r="G12" s="20">
        <v>99</v>
      </c>
      <c r="H12" s="23">
        <v>110000</v>
      </c>
      <c r="I12" s="86">
        <f t="shared" si="0"/>
        <v>55000</v>
      </c>
      <c r="J12" s="6" t="str">
        <f t="shared" si="1"/>
        <v>수</v>
      </c>
      <c r="M12" s="20" t="s">
        <v>21</v>
      </c>
      <c r="N12" s="6" t="str">
        <f t="array" ref="N12">COUNT(IF($C$3:$C$32=M12,$G$3:$G$32))&amp;"명"</f>
        <v>5명</v>
      </c>
      <c r="O12" s="4" t="str">
        <f t="array" ref="O12">COUNT(IF($C$3:$C$32=M12,1))&amp;"명"</f>
        <v>5명</v>
      </c>
    </row>
    <row r="13" spans="2:16">
      <c r="B13" s="19">
        <v>11</v>
      </c>
      <c r="C13" s="20" t="s">
        <v>8</v>
      </c>
      <c r="D13" s="20" t="s">
        <v>56</v>
      </c>
      <c r="E13" s="20">
        <v>2</v>
      </c>
      <c r="F13" s="20" t="s">
        <v>10</v>
      </c>
      <c r="G13" s="20">
        <v>83</v>
      </c>
      <c r="H13" s="23">
        <v>110000</v>
      </c>
      <c r="I13" s="86">
        <f t="shared" si="0"/>
        <v>33000</v>
      </c>
      <c r="J13" s="6" t="str">
        <f t="shared" si="1"/>
        <v>우</v>
      </c>
      <c r="M13" s="40" t="s">
        <v>101</v>
      </c>
      <c r="N13" s="6" t="str">
        <f t="array" ref="N13">COUNT(IF($C$3:$C$32=M13,$G$3:$G$32))&amp;"명"</f>
        <v>3명</v>
      </c>
      <c r="O13" s="4" t="str">
        <f t="array" ref="O13">COUNT(IF($C$3:$C$32=M13,1))&amp;"명"</f>
        <v>3명</v>
      </c>
    </row>
    <row r="14" spans="2:16">
      <c r="B14" s="19">
        <v>12</v>
      </c>
      <c r="C14" s="20" t="s">
        <v>57</v>
      </c>
      <c r="D14" s="20" t="s">
        <v>58</v>
      </c>
      <c r="E14" s="20">
        <v>1</v>
      </c>
      <c r="F14" s="20" t="s">
        <v>38</v>
      </c>
      <c r="G14" s="20">
        <v>80</v>
      </c>
      <c r="H14" s="23">
        <v>90000</v>
      </c>
      <c r="I14" s="86">
        <f t="shared" si="0"/>
        <v>36000</v>
      </c>
      <c r="J14" s="6" t="str">
        <f t="shared" si="1"/>
        <v>우</v>
      </c>
      <c r="M14" s="40" t="s">
        <v>102</v>
      </c>
      <c r="N14" s="6" t="str">
        <f t="array" ref="N14">COUNT(IF($C$3:$C$32=M14,$G$3:$G$32))&amp;"명"</f>
        <v>2명</v>
      </c>
      <c r="O14" s="4" t="str">
        <f t="array" ref="O14">COUNT(IF($C$3:$C$32=M14,1))&amp;"명"</f>
        <v>2명</v>
      </c>
    </row>
    <row r="15" spans="2:16">
      <c r="B15" s="19">
        <v>13</v>
      </c>
      <c r="C15" s="20" t="s">
        <v>8</v>
      </c>
      <c r="D15" s="20" t="s">
        <v>60</v>
      </c>
      <c r="E15" s="20">
        <v>2</v>
      </c>
      <c r="F15" s="20" t="s">
        <v>10</v>
      </c>
      <c r="G15" s="20">
        <v>70</v>
      </c>
      <c r="H15" s="23">
        <v>110000</v>
      </c>
      <c r="I15" s="86">
        <f t="shared" si="0"/>
        <v>33000</v>
      </c>
      <c r="J15" s="6" t="str">
        <f t="shared" si="1"/>
        <v>미</v>
      </c>
      <c r="M15" s="40" t="s">
        <v>103</v>
      </c>
      <c r="N15" s="6" t="str">
        <f t="array" ref="N15">COUNT(IF($C$3:$C$32=M15,$G$3:$G$32))&amp;"명"</f>
        <v>4명</v>
      </c>
      <c r="O15" s="4" t="str">
        <f t="array" ref="O15">COUNT(IF($C$3:$C$32=M15,1))&amp;"명"</f>
        <v>4명</v>
      </c>
    </row>
    <row r="16" spans="2:16">
      <c r="B16" s="19">
        <v>14</v>
      </c>
      <c r="C16" s="20" t="s">
        <v>57</v>
      </c>
      <c r="D16" s="20" t="s">
        <v>61</v>
      </c>
      <c r="E16" s="20">
        <v>1</v>
      </c>
      <c r="F16" s="20" t="s">
        <v>38</v>
      </c>
      <c r="G16" s="20">
        <v>60</v>
      </c>
      <c r="H16" s="23">
        <v>90000</v>
      </c>
      <c r="I16" s="86">
        <f t="shared" si="0"/>
        <v>36000</v>
      </c>
      <c r="J16" s="6" t="str">
        <f t="shared" si="1"/>
        <v>양</v>
      </c>
      <c r="M16" s="40" t="s">
        <v>104</v>
      </c>
      <c r="N16" s="6" t="str">
        <f t="array" ref="N16">COUNT(IF($C$3:$C$32=M16,$G$3:$G$32))&amp;"명"</f>
        <v>1명</v>
      </c>
      <c r="O16" s="4" t="str">
        <f t="array" ref="O16">COUNT(IF($C$3:$C$32=M16,1))&amp;"명"</f>
        <v>1명</v>
      </c>
    </row>
    <row r="17" spans="2:18">
      <c r="B17" s="19">
        <v>15</v>
      </c>
      <c r="C17" s="20" t="s">
        <v>57</v>
      </c>
      <c r="D17" s="20" t="s">
        <v>62</v>
      </c>
      <c r="E17" s="20">
        <v>1</v>
      </c>
      <c r="F17" s="20" t="s">
        <v>38</v>
      </c>
      <c r="G17" s="20">
        <v>50</v>
      </c>
      <c r="H17" s="23">
        <v>90000</v>
      </c>
      <c r="I17" s="86">
        <f t="shared" si="0"/>
        <v>36000</v>
      </c>
      <c r="J17" s="6" t="str">
        <f t="shared" si="1"/>
        <v>가</v>
      </c>
      <c r="M17" s="40" t="s">
        <v>105</v>
      </c>
      <c r="N17" s="6" t="str">
        <f t="array" ref="N17">COUNT(IF($C$3:$C$32=M17,$G$3:$G$32))&amp;"명"</f>
        <v>4명</v>
      </c>
      <c r="O17" s="4" t="str">
        <f t="array" ref="O17">COUNT(IF($C$3:$C$32=M17,1))&amp;"명"</f>
        <v>4명</v>
      </c>
    </row>
    <row r="18" spans="2:18">
      <c r="B18" s="19">
        <v>16</v>
      </c>
      <c r="C18" s="20" t="s">
        <v>36</v>
      </c>
      <c r="D18" s="20" t="s">
        <v>63</v>
      </c>
      <c r="E18" s="20">
        <v>3</v>
      </c>
      <c r="F18" s="20" t="s">
        <v>38</v>
      </c>
      <c r="G18" s="20">
        <v>89</v>
      </c>
      <c r="H18" s="23">
        <v>110000</v>
      </c>
      <c r="I18" s="86">
        <f t="shared" si="0"/>
        <v>44000</v>
      </c>
      <c r="J18" s="6" t="str">
        <f t="shared" si="1"/>
        <v>우</v>
      </c>
    </row>
    <row r="19" spans="2:18">
      <c r="B19" s="19">
        <v>17</v>
      </c>
      <c r="C19" s="20" t="s">
        <v>17</v>
      </c>
      <c r="D19" s="20" t="s">
        <v>0</v>
      </c>
      <c r="E19" s="20">
        <v>1</v>
      </c>
      <c r="F19" s="20" t="s">
        <v>18</v>
      </c>
      <c r="G19" s="20">
        <v>92</v>
      </c>
      <c r="H19" s="23">
        <v>100000</v>
      </c>
      <c r="I19" s="86">
        <f t="shared" si="0"/>
        <v>25000</v>
      </c>
      <c r="J19" s="6" t="str">
        <f t="shared" si="1"/>
        <v>수</v>
      </c>
    </row>
    <row r="20" spans="2:18">
      <c r="B20" s="19">
        <v>18</v>
      </c>
      <c r="C20" s="20" t="s">
        <v>28</v>
      </c>
      <c r="D20" s="20" t="s">
        <v>31</v>
      </c>
      <c r="E20" s="20">
        <v>2</v>
      </c>
      <c r="F20" s="20" t="s">
        <v>23</v>
      </c>
      <c r="G20" s="20">
        <v>95</v>
      </c>
      <c r="H20" s="23">
        <v>100000</v>
      </c>
      <c r="I20" s="86">
        <f t="shared" si="0"/>
        <v>35000</v>
      </c>
      <c r="J20" s="6" t="str">
        <f t="shared" si="1"/>
        <v>등급 대상 아님</v>
      </c>
    </row>
    <row r="21" spans="2:18">
      <c r="B21" s="19">
        <v>19</v>
      </c>
      <c r="C21" s="20" t="s">
        <v>21</v>
      </c>
      <c r="D21" s="20" t="s">
        <v>26</v>
      </c>
      <c r="E21" s="20">
        <v>1</v>
      </c>
      <c r="F21" s="20" t="s">
        <v>23</v>
      </c>
      <c r="G21" s="20">
        <v>49</v>
      </c>
      <c r="H21" s="23">
        <v>90000</v>
      </c>
      <c r="I21" s="86">
        <f t="shared" si="0"/>
        <v>31499.999999999996</v>
      </c>
      <c r="J21" s="6" t="str">
        <f t="shared" si="1"/>
        <v>등급 대상 아님</v>
      </c>
    </row>
    <row r="22" spans="2:18">
      <c r="B22" s="19">
        <v>20</v>
      </c>
      <c r="C22" s="20" t="s">
        <v>36</v>
      </c>
      <c r="D22" s="20" t="s">
        <v>37</v>
      </c>
      <c r="E22" s="20">
        <v>3</v>
      </c>
      <c r="F22" s="20" t="s">
        <v>38</v>
      </c>
      <c r="G22" s="20">
        <v>70</v>
      </c>
      <c r="H22" s="23">
        <v>110000</v>
      </c>
      <c r="I22" s="86">
        <f t="shared" si="0"/>
        <v>44000</v>
      </c>
      <c r="J22" s="6" t="str">
        <f t="shared" si="1"/>
        <v>미</v>
      </c>
    </row>
    <row r="23" spans="2:18">
      <c r="B23" s="19">
        <v>21</v>
      </c>
      <c r="C23" s="20" t="s">
        <v>21</v>
      </c>
      <c r="D23" s="20" t="s">
        <v>64</v>
      </c>
      <c r="E23" s="20">
        <v>1</v>
      </c>
      <c r="F23" s="20" t="s">
        <v>23</v>
      </c>
      <c r="G23" s="20">
        <v>57</v>
      </c>
      <c r="H23" s="23">
        <v>90000</v>
      </c>
      <c r="I23" s="86">
        <f t="shared" si="0"/>
        <v>22500</v>
      </c>
      <c r="J23" s="6" t="str">
        <f t="shared" si="1"/>
        <v>등급 대상 아님</v>
      </c>
      <c r="M23" s="4" t="s">
        <v>112</v>
      </c>
    </row>
    <row r="24" spans="2:18">
      <c r="B24" s="19">
        <v>22</v>
      </c>
      <c r="C24" s="20" t="s">
        <v>65</v>
      </c>
      <c r="D24" s="20" t="s">
        <v>66</v>
      </c>
      <c r="E24" s="20">
        <v>2</v>
      </c>
      <c r="F24" s="20" t="s">
        <v>38</v>
      </c>
      <c r="G24" s="20">
        <v>85</v>
      </c>
      <c r="H24" s="23">
        <v>100000</v>
      </c>
      <c r="I24" s="86">
        <f t="shared" si="0"/>
        <v>30000</v>
      </c>
      <c r="J24" s="6" t="str">
        <f t="shared" si="1"/>
        <v>우</v>
      </c>
      <c r="M24" s="5" t="s">
        <v>107</v>
      </c>
      <c r="N24" s="41" t="s">
        <v>84</v>
      </c>
      <c r="O24" s="41" t="s">
        <v>85</v>
      </c>
      <c r="P24" s="41" t="s">
        <v>86</v>
      </c>
      <c r="Q24" s="41" t="s">
        <v>87</v>
      </c>
    </row>
    <row r="25" spans="2:18">
      <c r="B25" s="19">
        <v>23</v>
      </c>
      <c r="C25" s="20" t="s">
        <v>21</v>
      </c>
      <c r="D25" s="20" t="s">
        <v>27</v>
      </c>
      <c r="E25" s="20">
        <v>1</v>
      </c>
      <c r="F25" s="20" t="s">
        <v>23</v>
      </c>
      <c r="G25" s="20">
        <v>98</v>
      </c>
      <c r="H25" s="23">
        <v>90000</v>
      </c>
      <c r="I25" s="86">
        <f t="shared" si="0"/>
        <v>22500</v>
      </c>
      <c r="J25" s="6" t="str">
        <f t="shared" si="1"/>
        <v>등급 대상 아님</v>
      </c>
      <c r="M25" s="5" t="s">
        <v>108</v>
      </c>
      <c r="N25" s="5">
        <f t="array" ref="N25">SUM((LEFT($C$3:$C$32,1)=$M25)*($F$3:$F$32=N$24)*1)</f>
        <v>0</v>
      </c>
      <c r="O25" s="5">
        <f t="array" ref="O25">SUM((LEFT($C$3:$C$32,1)=$M25)*($F$3:$F$32=O$24)*1)</f>
        <v>0</v>
      </c>
      <c r="P25" s="5">
        <f t="array" ref="P25">SUM((LEFT($C$3:$C$32,1)=$M25)*($F$3:$F$32=P$24)*1)</f>
        <v>8</v>
      </c>
      <c r="Q25" s="5">
        <f t="array" ref="Q25">SUM((LEFT($C$3:$C$32,1)=$M25)*($F$3:$F$32=Q$24)*1)</f>
        <v>0</v>
      </c>
    </row>
    <row r="26" spans="2:18">
      <c r="B26" s="19">
        <v>24</v>
      </c>
      <c r="C26" s="20" t="s">
        <v>17</v>
      </c>
      <c r="D26" s="20" t="s">
        <v>20</v>
      </c>
      <c r="E26" s="20">
        <v>1</v>
      </c>
      <c r="F26" s="20" t="s">
        <v>18</v>
      </c>
      <c r="G26" s="20">
        <v>100</v>
      </c>
      <c r="H26" s="23">
        <v>100000</v>
      </c>
      <c r="I26" s="86">
        <f t="shared" si="0"/>
        <v>15000</v>
      </c>
      <c r="J26" s="6" t="str">
        <f t="shared" si="1"/>
        <v>수</v>
      </c>
      <c r="M26" s="5" t="s">
        <v>109</v>
      </c>
      <c r="N26" s="5">
        <f t="array" ref="N26">SUM((LEFT($C$3:$C$32,1)=$M26)*($F$3:$F$32=N$24)*1)</f>
        <v>0</v>
      </c>
      <c r="O26" s="5">
        <f t="array" ref="O26">SUM((LEFT($C$3:$C$32,1)=$M26)*($F$3:$F$32=O$24)*1)</f>
        <v>0</v>
      </c>
      <c r="P26" s="5">
        <f t="array" ref="P26">SUM((LEFT($C$3:$C$32,1)=$M26)*($F$3:$F$32=P$24)*1)</f>
        <v>0</v>
      </c>
      <c r="Q26" s="5">
        <f t="array" ref="Q26">SUM((LEFT($C$3:$C$32,1)=$M26)*($F$3:$F$32=Q$24)*1)</f>
        <v>3</v>
      </c>
    </row>
    <row r="27" spans="2:18">
      <c r="B27" s="19">
        <v>25</v>
      </c>
      <c r="C27" s="20" t="s">
        <v>68</v>
      </c>
      <c r="D27" s="20" t="s">
        <v>69</v>
      </c>
      <c r="E27" s="20">
        <v>3</v>
      </c>
      <c r="F27" s="20" t="s">
        <v>18</v>
      </c>
      <c r="G27" s="20">
        <v>79</v>
      </c>
      <c r="H27" s="23">
        <v>120000</v>
      </c>
      <c r="I27" s="86">
        <f t="shared" si="0"/>
        <v>18000</v>
      </c>
      <c r="J27" s="6" t="str">
        <f t="shared" si="1"/>
        <v>미</v>
      </c>
      <c r="M27" s="5" t="s">
        <v>110</v>
      </c>
      <c r="N27" s="5">
        <f t="array" ref="N27">SUM((LEFT($C$3:$C$32,1)=$M27)*($F$3:$F$32=N$24)*1)</f>
        <v>0</v>
      </c>
      <c r="O27" s="5">
        <f t="array" ref="O27">SUM((LEFT($C$3:$C$32,1)=$M27)*($F$3:$F$32=O$24)*1)</f>
        <v>10</v>
      </c>
      <c r="P27" s="5">
        <f t="array" ref="P27">SUM((LEFT($C$3:$C$32,1)=$M27)*($F$3:$F$32=P$24)*1)</f>
        <v>0</v>
      </c>
      <c r="Q27" s="5">
        <f t="array" ref="Q27">SUM((LEFT($C$3:$C$32,1)=$M27)*($F$3:$F$32=Q$24)*1)</f>
        <v>0</v>
      </c>
    </row>
    <row r="28" spans="2:18">
      <c r="B28" s="19">
        <v>26</v>
      </c>
      <c r="C28" s="20" t="s">
        <v>28</v>
      </c>
      <c r="D28" s="20" t="s">
        <v>71</v>
      </c>
      <c r="E28" s="20">
        <v>2</v>
      </c>
      <c r="F28" s="20" t="s">
        <v>23</v>
      </c>
      <c r="G28" s="20">
        <v>69</v>
      </c>
      <c r="H28" s="23">
        <v>100000</v>
      </c>
      <c r="I28" s="86">
        <f t="shared" si="0"/>
        <v>25000</v>
      </c>
      <c r="J28" s="6" t="str">
        <f t="shared" si="1"/>
        <v>등급 대상 아님</v>
      </c>
      <c r="M28" s="5" t="s">
        <v>111</v>
      </c>
      <c r="N28" s="5">
        <f t="array" ref="N28">SUM((LEFT($C$3:$C$32,1)=$M28)*($F$3:$F$32=N$24)*1)</f>
        <v>9</v>
      </c>
      <c r="O28" s="5">
        <f t="array" ref="O28">SUM((LEFT($C$3:$C$32,1)=$M28)*($F$3:$F$32=O$24)*1)</f>
        <v>0</v>
      </c>
      <c r="P28" s="5">
        <f t="array" ref="P28">SUM((LEFT($C$3:$C$32,1)=$M28)*($F$3:$F$32=P$24)*1)</f>
        <v>0</v>
      </c>
      <c r="Q28" s="5">
        <f t="array" ref="Q28">SUM((LEFT($C$3:$C$32,1)=$M28)*($F$3:$F$32=Q$24)*1)</f>
        <v>0</v>
      </c>
    </row>
    <row r="29" spans="2:18">
      <c r="B29" s="19">
        <v>27</v>
      </c>
      <c r="C29" s="20" t="s">
        <v>12</v>
      </c>
      <c r="D29" s="20" t="s">
        <v>72</v>
      </c>
      <c r="E29" s="20">
        <v>3</v>
      </c>
      <c r="F29" s="20" t="s">
        <v>10</v>
      </c>
      <c r="G29" s="20">
        <v>96</v>
      </c>
      <c r="H29" s="23">
        <v>120000</v>
      </c>
      <c r="I29" s="86">
        <f t="shared" si="0"/>
        <v>24000</v>
      </c>
      <c r="J29" s="6" t="str">
        <f t="shared" si="1"/>
        <v>수</v>
      </c>
    </row>
    <row r="30" spans="2:18">
      <c r="B30" s="19">
        <v>28</v>
      </c>
      <c r="C30" s="20" t="s">
        <v>73</v>
      </c>
      <c r="D30" s="20" t="s">
        <v>74</v>
      </c>
      <c r="E30" s="20">
        <v>1</v>
      </c>
      <c r="F30" s="20" t="s">
        <v>10</v>
      </c>
      <c r="G30" s="20">
        <v>59</v>
      </c>
      <c r="H30" s="23">
        <v>100000</v>
      </c>
      <c r="I30" s="86">
        <f t="shared" si="0"/>
        <v>20000</v>
      </c>
      <c r="J30" s="6" t="str">
        <f t="shared" si="1"/>
        <v>가</v>
      </c>
      <c r="N30" s="88" t="s">
        <v>195</v>
      </c>
      <c r="O30" s="88"/>
      <c r="P30" s="88"/>
      <c r="Q30" s="88"/>
      <c r="R30" s="88"/>
    </row>
    <row r="31" spans="2:18">
      <c r="B31" s="19">
        <v>29</v>
      </c>
      <c r="C31" s="20" t="s">
        <v>57</v>
      </c>
      <c r="D31" s="20" t="s">
        <v>76</v>
      </c>
      <c r="E31" s="20">
        <v>1</v>
      </c>
      <c r="F31" s="20" t="s">
        <v>38</v>
      </c>
      <c r="G31" s="20">
        <v>85</v>
      </c>
      <c r="H31" s="23">
        <v>90000</v>
      </c>
      <c r="I31" s="86">
        <f t="shared" si="0"/>
        <v>27000</v>
      </c>
      <c r="J31" s="6" t="str">
        <f t="shared" si="1"/>
        <v>우</v>
      </c>
      <c r="N31" s="88">
        <f t="array" ref="N31">SUM(IF((LEFT($C$3:$C$32,1)=$M25)*($F$3:$F$32=N$24),1))</f>
        <v>0</v>
      </c>
      <c r="O31" s="88"/>
      <c r="P31" s="88"/>
      <c r="Q31" s="88"/>
      <c r="R31" s="88"/>
    </row>
    <row r="32" spans="2:18">
      <c r="B32" s="19">
        <v>30</v>
      </c>
      <c r="C32" s="20" t="s">
        <v>36</v>
      </c>
      <c r="D32" s="20" t="s">
        <v>77</v>
      </c>
      <c r="E32" s="20">
        <v>3</v>
      </c>
      <c r="F32" s="20" t="s">
        <v>38</v>
      </c>
      <c r="G32" s="20">
        <v>79</v>
      </c>
      <c r="H32" s="23">
        <v>110000</v>
      </c>
      <c r="I32" s="86">
        <f t="shared" si="0"/>
        <v>33000</v>
      </c>
      <c r="J32" s="6" t="str">
        <f t="shared" si="1"/>
        <v>미</v>
      </c>
      <c r="N32" s="88"/>
      <c r="O32" s="88"/>
      <c r="P32" s="88"/>
      <c r="Q32" s="88"/>
      <c r="R32" s="88"/>
    </row>
    <row r="33" spans="2:18">
      <c r="N33" s="88"/>
      <c r="O33" s="88"/>
      <c r="P33" s="88"/>
      <c r="Q33" s="88"/>
      <c r="R33" s="88"/>
    </row>
    <row r="34" spans="2:18">
      <c r="H34" s="85"/>
      <c r="N34" s="88"/>
      <c r="O34" s="88"/>
      <c r="P34" s="88"/>
      <c r="Q34" s="88"/>
    </row>
    <row r="35" spans="2:18">
      <c r="B35" s="24" t="s">
        <v>88</v>
      </c>
      <c r="N35" s="88"/>
      <c r="O35" s="88"/>
      <c r="P35" s="88"/>
      <c r="Q35" s="88"/>
    </row>
    <row r="36" spans="2:18">
      <c r="B36" s="124" t="s">
        <v>81</v>
      </c>
      <c r="C36" s="30" t="s">
        <v>81</v>
      </c>
      <c r="D36" s="30" t="s">
        <v>81</v>
      </c>
      <c r="E36" s="30" t="s">
        <v>81</v>
      </c>
      <c r="F36" s="30" t="s">
        <v>81</v>
      </c>
      <c r="N36" s="88"/>
      <c r="O36" s="88"/>
      <c r="P36" s="88"/>
      <c r="Q36" s="88"/>
    </row>
    <row r="37" spans="2:18" ht="17.25" thickBot="1">
      <c r="B37" s="125"/>
      <c r="C37" s="28" t="s">
        <v>84</v>
      </c>
      <c r="D37" s="28" t="s">
        <v>85</v>
      </c>
      <c r="E37" s="28" t="s">
        <v>86</v>
      </c>
      <c r="F37" s="28" t="s">
        <v>87</v>
      </c>
      <c r="N37" s="88"/>
      <c r="O37" s="88"/>
      <c r="P37" s="88"/>
      <c r="Q37" s="88"/>
    </row>
    <row r="38" spans="2:18" ht="17.25" thickTop="1">
      <c r="B38" s="31" t="s">
        <v>190</v>
      </c>
      <c r="C38" s="29">
        <f>DSUM($B$2:$H$32,$G$2,C36:C37)/DCOUNT($B$2:$H$32,6,C36:C37)</f>
        <v>77.444444444444443</v>
      </c>
      <c r="D38" s="29">
        <f t="shared" ref="D38:F38" si="2">DSUM($B$2:$H$32,$G$2,D36:D37)/DCOUNT($B$2:$H$32,6,D36:D37)</f>
        <v>79.099999999999994</v>
      </c>
      <c r="E38" s="29">
        <f t="shared" si="2"/>
        <v>71.75</v>
      </c>
      <c r="F38" s="29">
        <f t="shared" si="2"/>
        <v>90.333333333333329</v>
      </c>
      <c r="N38" s="88"/>
      <c r="O38" s="88"/>
      <c r="P38" s="88"/>
      <c r="Q38" s="88"/>
    </row>
    <row r="39" spans="2:18">
      <c r="N39" s="88"/>
      <c r="O39" s="88"/>
      <c r="P39" s="88"/>
      <c r="Q39" s="88"/>
    </row>
    <row r="40" spans="2:18">
      <c r="N40" s="88"/>
      <c r="O40" s="88"/>
      <c r="P40" s="88"/>
      <c r="Q40" s="88"/>
    </row>
    <row r="41" spans="2:18">
      <c r="N41" s="88"/>
      <c r="O41" s="88"/>
      <c r="P41" s="88"/>
      <c r="Q41" s="88"/>
    </row>
    <row r="42" spans="2:18">
      <c r="B42" s="24" t="s">
        <v>96</v>
      </c>
      <c r="N42" s="88"/>
      <c r="O42" s="88"/>
      <c r="P42" s="88"/>
      <c r="Q42" s="88"/>
    </row>
    <row r="43" spans="2:18" s="33" customFormat="1">
      <c r="B43" s="126" t="s">
        <v>94</v>
      </c>
      <c r="C43" s="36">
        <v>1</v>
      </c>
      <c r="D43" s="36">
        <v>11</v>
      </c>
      <c r="E43" s="36">
        <v>21</v>
      </c>
      <c r="F43" s="24"/>
      <c r="G43" s="24" t="s">
        <v>191</v>
      </c>
      <c r="H43" s="32"/>
      <c r="N43" s="88"/>
    </row>
    <row r="44" spans="2:18" s="33" customFormat="1">
      <c r="B44" s="127"/>
      <c r="C44" s="37">
        <v>10</v>
      </c>
      <c r="D44" s="37">
        <v>20</v>
      </c>
      <c r="E44" s="37">
        <v>30</v>
      </c>
      <c r="F44" s="24"/>
      <c r="G44" s="87">
        <f>HLOOKUP(B3,$C$43:$E$48,MATCH(F3,$B$43:$B$48,0),1) * H3</f>
        <v>40500</v>
      </c>
      <c r="H44" s="32"/>
    </row>
    <row r="45" spans="2:18" s="33" customFormat="1">
      <c r="B45" s="34" t="s">
        <v>90</v>
      </c>
      <c r="C45" s="35">
        <v>0.5</v>
      </c>
      <c r="D45" s="35">
        <v>0.4</v>
      </c>
      <c r="E45" s="35">
        <v>0.3</v>
      </c>
      <c r="F45" s="24"/>
      <c r="G45" s="87" t="s">
        <v>192</v>
      </c>
      <c r="H45" s="32"/>
    </row>
    <row r="46" spans="2:18" s="33" customFormat="1">
      <c r="B46" s="34" t="s">
        <v>91</v>
      </c>
      <c r="C46" s="35">
        <v>0.45</v>
      </c>
      <c r="D46" s="35">
        <v>0.35</v>
      </c>
      <c r="E46" s="35">
        <v>0.25</v>
      </c>
      <c r="F46" s="24"/>
      <c r="G46" s="87"/>
      <c r="H46" s="32"/>
    </row>
    <row r="47" spans="2:18" s="33" customFormat="1">
      <c r="B47" s="34" t="s">
        <v>92</v>
      </c>
      <c r="C47" s="35">
        <v>0.4</v>
      </c>
      <c r="D47" s="35">
        <v>0.3</v>
      </c>
      <c r="E47" s="35">
        <v>0.2</v>
      </c>
      <c r="F47" s="24"/>
      <c r="G47" s="87"/>
      <c r="H47" s="32"/>
    </row>
    <row r="48" spans="2:18" s="33" customFormat="1">
      <c r="B48" s="34" t="s">
        <v>93</v>
      </c>
      <c r="C48" s="35">
        <v>0.35</v>
      </c>
      <c r="D48" s="35">
        <v>0.25</v>
      </c>
      <c r="E48" s="35">
        <v>0.15</v>
      </c>
      <c r="F48" s="24"/>
      <c r="G48" s="87"/>
      <c r="H48" s="32"/>
    </row>
    <row r="49" spans="2:8" s="33" customFormat="1">
      <c r="B49" s="24"/>
      <c r="C49" s="24"/>
      <c r="D49" s="24"/>
      <c r="E49" s="24"/>
      <c r="F49" s="24"/>
      <c r="G49" s="24"/>
      <c r="H49" s="32"/>
    </row>
    <row r="50" spans="2:8" s="33" customFormat="1">
      <c r="B50" s="24"/>
      <c r="C50" s="24"/>
      <c r="D50" s="24"/>
      <c r="E50" s="24"/>
      <c r="F50" s="24"/>
      <c r="G50" s="24"/>
      <c r="H50" s="32"/>
    </row>
    <row r="51" spans="2:8" s="33" customFormat="1">
      <c r="B51" s="24"/>
      <c r="C51" s="24"/>
      <c r="D51" s="24"/>
      <c r="E51" s="24"/>
      <c r="F51" s="24"/>
      <c r="G51" s="24"/>
      <c r="H51" s="32"/>
    </row>
  </sheetData>
  <mergeCells count="2">
    <mergeCell ref="B36:B37"/>
    <mergeCell ref="B43:B4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I69"/>
  <sheetViews>
    <sheetView topLeftCell="A56" workbookViewId="0">
      <selection activeCell="F66" sqref="F66"/>
    </sheetView>
  </sheetViews>
  <sheetFormatPr defaultRowHeight="16.5"/>
  <cols>
    <col min="2" max="2" width="13.875" customWidth="1"/>
    <col min="3" max="3" width="9.5" customWidth="1"/>
    <col min="4" max="4" width="13.875" customWidth="1"/>
    <col min="5" max="5" width="10.75" customWidth="1"/>
    <col min="6" max="6" width="12.375" customWidth="1"/>
    <col min="7" max="7" width="10.75" customWidth="1"/>
    <col min="8" max="8" width="12.625" customWidth="1"/>
    <col min="9" max="9" width="10.75" customWidth="1"/>
    <col min="10" max="11" width="18" bestFit="1" customWidth="1"/>
  </cols>
  <sheetData>
    <row r="2" spans="2:9">
      <c r="B2" s="44" t="s">
        <v>115</v>
      </c>
      <c r="C2" s="44" t="s">
        <v>1</v>
      </c>
      <c r="D2" s="44" t="s">
        <v>2</v>
      </c>
      <c r="E2" s="44" t="s">
        <v>3</v>
      </c>
      <c r="F2" s="44" t="s">
        <v>4</v>
      </c>
      <c r="G2" s="44" t="s">
        <v>5</v>
      </c>
      <c r="H2" s="44" t="s">
        <v>6</v>
      </c>
      <c r="I2" s="44" t="s">
        <v>7</v>
      </c>
    </row>
    <row r="3" spans="2:9">
      <c r="B3" s="45">
        <v>1</v>
      </c>
      <c r="C3" s="46" t="s">
        <v>21</v>
      </c>
      <c r="D3" s="47">
        <v>38504</v>
      </c>
      <c r="E3" s="46" t="s">
        <v>22</v>
      </c>
      <c r="F3" s="45">
        <v>1</v>
      </c>
      <c r="G3" s="46" t="s">
        <v>23</v>
      </c>
      <c r="H3" s="46" t="s">
        <v>24</v>
      </c>
      <c r="I3" s="45">
        <v>90000</v>
      </c>
    </row>
    <row r="4" spans="2:9">
      <c r="B4" s="45">
        <v>2</v>
      </c>
      <c r="C4" s="46" t="s">
        <v>32</v>
      </c>
      <c r="D4" s="47">
        <v>38505</v>
      </c>
      <c r="E4" s="46" t="s">
        <v>33</v>
      </c>
      <c r="F4" s="45">
        <v>3</v>
      </c>
      <c r="G4" s="46" t="s">
        <v>23</v>
      </c>
      <c r="H4" s="46" t="s">
        <v>34</v>
      </c>
      <c r="I4" s="45">
        <v>110000</v>
      </c>
    </row>
    <row r="5" spans="2:9">
      <c r="B5" s="45">
        <v>3</v>
      </c>
      <c r="C5" s="46" t="s">
        <v>12</v>
      </c>
      <c r="D5" s="47">
        <v>38506</v>
      </c>
      <c r="E5" s="46" t="s">
        <v>13</v>
      </c>
      <c r="F5" s="45">
        <v>3</v>
      </c>
      <c r="G5" s="46" t="s">
        <v>10</v>
      </c>
      <c r="H5" s="46" t="s">
        <v>14</v>
      </c>
      <c r="I5" s="45">
        <v>120000</v>
      </c>
    </row>
    <row r="6" spans="2:9">
      <c r="B6" s="45">
        <v>4</v>
      </c>
      <c r="C6" s="46" t="s">
        <v>8</v>
      </c>
      <c r="D6" s="47">
        <v>38507</v>
      </c>
      <c r="E6" s="46" t="s">
        <v>9</v>
      </c>
      <c r="F6" s="45">
        <v>2</v>
      </c>
      <c r="G6" s="46" t="s">
        <v>10</v>
      </c>
      <c r="H6" s="46" t="s">
        <v>11</v>
      </c>
      <c r="I6" s="45">
        <v>110000</v>
      </c>
    </row>
    <row r="7" spans="2:9">
      <c r="B7" s="45">
        <v>5</v>
      </c>
      <c r="C7" s="46" t="s">
        <v>32</v>
      </c>
      <c r="D7" s="47">
        <v>38508</v>
      </c>
      <c r="E7" s="46" t="s">
        <v>35</v>
      </c>
      <c r="F7" s="45">
        <v>3</v>
      </c>
      <c r="G7" s="46" t="s">
        <v>23</v>
      </c>
      <c r="H7" s="46" t="s">
        <v>34</v>
      </c>
      <c r="I7" s="45">
        <v>110000</v>
      </c>
    </row>
    <row r="8" spans="2:9">
      <c r="B8" s="45">
        <v>6</v>
      </c>
      <c r="C8" s="46" t="s">
        <v>12</v>
      </c>
      <c r="D8" s="47">
        <v>38509</v>
      </c>
      <c r="E8" s="46" t="s">
        <v>15</v>
      </c>
      <c r="F8" s="45">
        <v>3</v>
      </c>
      <c r="G8" s="46" t="s">
        <v>10</v>
      </c>
      <c r="H8" s="46" t="s">
        <v>14</v>
      </c>
      <c r="I8" s="45">
        <v>120000</v>
      </c>
    </row>
    <row r="9" spans="2:9">
      <c r="B9" s="45">
        <v>7</v>
      </c>
      <c r="C9" s="46" t="s">
        <v>21</v>
      </c>
      <c r="D9" s="47">
        <v>38510</v>
      </c>
      <c r="E9" s="46" t="s">
        <v>25</v>
      </c>
      <c r="F9" s="45">
        <v>1</v>
      </c>
      <c r="G9" s="46" t="s">
        <v>23</v>
      </c>
      <c r="H9" s="46" t="s">
        <v>24</v>
      </c>
      <c r="I9" s="45">
        <v>90000</v>
      </c>
    </row>
    <row r="10" spans="2:9">
      <c r="B10" s="45">
        <v>8</v>
      </c>
      <c r="C10" s="46" t="s">
        <v>12</v>
      </c>
      <c r="D10" s="47">
        <v>38511</v>
      </c>
      <c r="E10" s="46" t="s">
        <v>16</v>
      </c>
      <c r="F10" s="45">
        <v>3</v>
      </c>
      <c r="G10" s="46" t="s">
        <v>10</v>
      </c>
      <c r="H10" s="46" t="s">
        <v>14</v>
      </c>
      <c r="I10" s="45">
        <v>120000</v>
      </c>
    </row>
    <row r="11" spans="2:9">
      <c r="B11" s="45">
        <v>9</v>
      </c>
      <c r="C11" s="46" t="s">
        <v>28</v>
      </c>
      <c r="D11" s="47">
        <v>38512</v>
      </c>
      <c r="E11" s="46" t="s">
        <v>29</v>
      </c>
      <c r="F11" s="45">
        <v>2</v>
      </c>
      <c r="G11" s="46" t="s">
        <v>23</v>
      </c>
      <c r="H11" s="46" t="s">
        <v>30</v>
      </c>
      <c r="I11" s="45">
        <v>100000</v>
      </c>
    </row>
    <row r="12" spans="2:9">
      <c r="B12" s="45">
        <v>10</v>
      </c>
      <c r="C12" s="46" t="s">
        <v>36</v>
      </c>
      <c r="D12" s="47">
        <v>38513</v>
      </c>
      <c r="E12" s="46" t="s">
        <v>55</v>
      </c>
      <c r="F12" s="45">
        <v>3</v>
      </c>
      <c r="G12" s="46" t="s">
        <v>38</v>
      </c>
      <c r="H12" s="46" t="s">
        <v>39</v>
      </c>
      <c r="I12" s="45">
        <v>110000</v>
      </c>
    </row>
    <row r="13" spans="2:9">
      <c r="B13" s="45">
        <v>11</v>
      </c>
      <c r="C13" s="46" t="s">
        <v>8</v>
      </c>
      <c r="D13" s="47">
        <v>38514</v>
      </c>
      <c r="E13" s="46" t="s">
        <v>56</v>
      </c>
      <c r="F13" s="45">
        <v>2</v>
      </c>
      <c r="G13" s="46" t="s">
        <v>10</v>
      </c>
      <c r="H13" s="46" t="s">
        <v>11</v>
      </c>
      <c r="I13" s="45">
        <v>110000</v>
      </c>
    </row>
    <row r="14" spans="2:9">
      <c r="B14" s="45">
        <v>12</v>
      </c>
      <c r="C14" s="46" t="s">
        <v>57</v>
      </c>
      <c r="D14" s="47">
        <v>38515</v>
      </c>
      <c r="E14" s="46" t="s">
        <v>58</v>
      </c>
      <c r="F14" s="45">
        <v>1</v>
      </c>
      <c r="G14" s="46" t="s">
        <v>38</v>
      </c>
      <c r="H14" s="46" t="s">
        <v>59</v>
      </c>
      <c r="I14" s="45">
        <v>90000</v>
      </c>
    </row>
    <row r="15" spans="2:9">
      <c r="B15" s="45">
        <v>13</v>
      </c>
      <c r="C15" s="46" t="s">
        <v>8</v>
      </c>
      <c r="D15" s="47">
        <v>38516</v>
      </c>
      <c r="E15" s="46" t="s">
        <v>60</v>
      </c>
      <c r="F15" s="45">
        <v>2</v>
      </c>
      <c r="G15" s="46" t="s">
        <v>10</v>
      </c>
      <c r="H15" s="46" t="s">
        <v>11</v>
      </c>
      <c r="I15" s="45">
        <v>110000</v>
      </c>
    </row>
    <row r="16" spans="2:9">
      <c r="B16" s="45">
        <v>14</v>
      </c>
      <c r="C16" s="46" t="s">
        <v>57</v>
      </c>
      <c r="D16" s="47">
        <v>38517</v>
      </c>
      <c r="E16" s="46" t="s">
        <v>61</v>
      </c>
      <c r="F16" s="45">
        <v>1</v>
      </c>
      <c r="G16" s="46" t="s">
        <v>38</v>
      </c>
      <c r="H16" s="46" t="s">
        <v>59</v>
      </c>
      <c r="I16" s="45">
        <v>90000</v>
      </c>
    </row>
    <row r="17" spans="2:9">
      <c r="B17" s="45">
        <v>15</v>
      </c>
      <c r="C17" s="46" t="s">
        <v>57</v>
      </c>
      <c r="D17" s="47">
        <v>38518</v>
      </c>
      <c r="E17" s="46" t="s">
        <v>62</v>
      </c>
      <c r="F17" s="45">
        <v>1</v>
      </c>
      <c r="G17" s="46" t="s">
        <v>38</v>
      </c>
      <c r="H17" s="46" t="s">
        <v>59</v>
      </c>
      <c r="I17" s="45">
        <v>90000</v>
      </c>
    </row>
    <row r="18" spans="2:9">
      <c r="B18" s="45">
        <v>16</v>
      </c>
      <c r="C18" s="46" t="s">
        <v>36</v>
      </c>
      <c r="D18" s="47">
        <v>38519</v>
      </c>
      <c r="E18" s="46" t="s">
        <v>63</v>
      </c>
      <c r="F18" s="45">
        <v>3</v>
      </c>
      <c r="G18" s="46" t="s">
        <v>38</v>
      </c>
      <c r="H18" s="46" t="s">
        <v>39</v>
      </c>
      <c r="I18" s="45">
        <v>110000</v>
      </c>
    </row>
    <row r="19" spans="2:9">
      <c r="B19" s="45">
        <v>17</v>
      </c>
      <c r="C19" s="46" t="s">
        <v>17</v>
      </c>
      <c r="D19" s="47">
        <v>38520</v>
      </c>
      <c r="E19" s="46" t="s">
        <v>0</v>
      </c>
      <c r="F19" s="45">
        <v>1</v>
      </c>
      <c r="G19" s="46" t="s">
        <v>18</v>
      </c>
      <c r="H19" s="46" t="s">
        <v>19</v>
      </c>
      <c r="I19" s="45">
        <v>100000</v>
      </c>
    </row>
    <row r="20" spans="2:9">
      <c r="B20" s="45">
        <v>18</v>
      </c>
      <c r="C20" s="46" t="s">
        <v>28</v>
      </c>
      <c r="D20" s="47">
        <v>38521</v>
      </c>
      <c r="E20" s="46" t="s">
        <v>31</v>
      </c>
      <c r="F20" s="45">
        <v>2</v>
      </c>
      <c r="G20" s="46" t="s">
        <v>23</v>
      </c>
      <c r="H20" s="46" t="s">
        <v>30</v>
      </c>
      <c r="I20" s="45">
        <v>100000</v>
      </c>
    </row>
    <row r="21" spans="2:9">
      <c r="B21" s="45">
        <v>19</v>
      </c>
      <c r="C21" s="46" t="s">
        <v>21</v>
      </c>
      <c r="D21" s="47">
        <v>38522</v>
      </c>
      <c r="E21" s="46" t="s">
        <v>26</v>
      </c>
      <c r="F21" s="45">
        <v>1</v>
      </c>
      <c r="G21" s="46" t="s">
        <v>23</v>
      </c>
      <c r="H21" s="46" t="s">
        <v>24</v>
      </c>
      <c r="I21" s="45">
        <v>90000</v>
      </c>
    </row>
    <row r="22" spans="2:9">
      <c r="B22" s="45">
        <v>20</v>
      </c>
      <c r="C22" s="46" t="s">
        <v>36</v>
      </c>
      <c r="D22" s="47">
        <v>38523</v>
      </c>
      <c r="E22" s="46" t="s">
        <v>37</v>
      </c>
      <c r="F22" s="45">
        <v>3</v>
      </c>
      <c r="G22" s="46" t="s">
        <v>38</v>
      </c>
      <c r="H22" s="46" t="s">
        <v>39</v>
      </c>
      <c r="I22" s="45">
        <v>110000</v>
      </c>
    </row>
    <row r="23" spans="2:9">
      <c r="B23" s="45">
        <v>21</v>
      </c>
      <c r="C23" s="46" t="s">
        <v>21</v>
      </c>
      <c r="D23" s="47">
        <v>38524</v>
      </c>
      <c r="E23" s="46" t="s">
        <v>64</v>
      </c>
      <c r="F23" s="45">
        <v>1</v>
      </c>
      <c r="G23" s="46" t="s">
        <v>23</v>
      </c>
      <c r="H23" s="46" t="s">
        <v>24</v>
      </c>
      <c r="I23" s="45">
        <v>90000</v>
      </c>
    </row>
    <row r="24" spans="2:9">
      <c r="B24" s="45">
        <v>22</v>
      </c>
      <c r="C24" s="46" t="s">
        <v>65</v>
      </c>
      <c r="D24" s="47">
        <v>38525</v>
      </c>
      <c r="E24" s="46" t="s">
        <v>66</v>
      </c>
      <c r="F24" s="45">
        <v>2</v>
      </c>
      <c r="G24" s="46" t="s">
        <v>38</v>
      </c>
      <c r="H24" s="46" t="s">
        <v>67</v>
      </c>
      <c r="I24" s="45">
        <v>100000</v>
      </c>
    </row>
    <row r="25" spans="2:9">
      <c r="B25" s="45">
        <v>23</v>
      </c>
      <c r="C25" s="46" t="s">
        <v>21</v>
      </c>
      <c r="D25" s="47">
        <v>38526</v>
      </c>
      <c r="E25" s="46" t="s">
        <v>27</v>
      </c>
      <c r="F25" s="45">
        <v>1</v>
      </c>
      <c r="G25" s="46" t="s">
        <v>23</v>
      </c>
      <c r="H25" s="46" t="s">
        <v>24</v>
      </c>
      <c r="I25" s="45">
        <v>90000</v>
      </c>
    </row>
    <row r="26" spans="2:9">
      <c r="B26" s="45">
        <v>24</v>
      </c>
      <c r="C26" s="46" t="s">
        <v>17</v>
      </c>
      <c r="D26" s="47">
        <v>38527</v>
      </c>
      <c r="E26" s="46" t="s">
        <v>20</v>
      </c>
      <c r="F26" s="45">
        <v>1</v>
      </c>
      <c r="G26" s="46" t="s">
        <v>18</v>
      </c>
      <c r="H26" s="46" t="s">
        <v>19</v>
      </c>
      <c r="I26" s="45">
        <v>100000</v>
      </c>
    </row>
    <row r="27" spans="2:9">
      <c r="B27" s="45">
        <v>25</v>
      </c>
      <c r="C27" s="46" t="s">
        <v>68</v>
      </c>
      <c r="D27" s="47">
        <v>38528</v>
      </c>
      <c r="E27" s="46" t="s">
        <v>69</v>
      </c>
      <c r="F27" s="45">
        <v>3</v>
      </c>
      <c r="G27" s="46" t="s">
        <v>18</v>
      </c>
      <c r="H27" s="46" t="s">
        <v>70</v>
      </c>
      <c r="I27" s="45">
        <v>120000</v>
      </c>
    </row>
    <row r="28" spans="2:9">
      <c r="B28" s="45">
        <v>26</v>
      </c>
      <c r="C28" s="46" t="s">
        <v>28</v>
      </c>
      <c r="D28" s="47">
        <v>38529</v>
      </c>
      <c r="E28" s="46" t="s">
        <v>71</v>
      </c>
      <c r="F28" s="45">
        <v>2</v>
      </c>
      <c r="G28" s="46" t="s">
        <v>23</v>
      </c>
      <c r="H28" s="46" t="s">
        <v>30</v>
      </c>
      <c r="I28" s="45">
        <v>100000</v>
      </c>
    </row>
    <row r="29" spans="2:9">
      <c r="B29" s="45">
        <v>27</v>
      </c>
      <c r="C29" s="46" t="s">
        <v>12</v>
      </c>
      <c r="D29" s="47">
        <v>38530</v>
      </c>
      <c r="E29" s="46" t="s">
        <v>72</v>
      </c>
      <c r="F29" s="45">
        <v>3</v>
      </c>
      <c r="G29" s="46" t="s">
        <v>10</v>
      </c>
      <c r="H29" s="46" t="s">
        <v>14</v>
      </c>
      <c r="I29" s="45">
        <v>120000</v>
      </c>
    </row>
    <row r="30" spans="2:9">
      <c r="B30" s="45">
        <v>28</v>
      </c>
      <c r="C30" s="46" t="s">
        <v>73</v>
      </c>
      <c r="D30" s="47">
        <v>38531</v>
      </c>
      <c r="E30" s="46" t="s">
        <v>74</v>
      </c>
      <c r="F30" s="45">
        <v>1</v>
      </c>
      <c r="G30" s="46" t="s">
        <v>10</v>
      </c>
      <c r="H30" s="46" t="s">
        <v>75</v>
      </c>
      <c r="I30" s="45">
        <v>100000</v>
      </c>
    </row>
    <row r="31" spans="2:9">
      <c r="B31" s="45">
        <v>29</v>
      </c>
      <c r="C31" s="46" t="s">
        <v>57</v>
      </c>
      <c r="D31" s="47">
        <v>38532</v>
      </c>
      <c r="E31" s="46" t="s">
        <v>76</v>
      </c>
      <c r="F31" s="45">
        <v>1</v>
      </c>
      <c r="G31" s="46" t="s">
        <v>38</v>
      </c>
      <c r="H31" s="46" t="s">
        <v>59</v>
      </c>
      <c r="I31" s="45">
        <v>90000</v>
      </c>
    </row>
    <row r="32" spans="2:9">
      <c r="B32" s="45">
        <v>30</v>
      </c>
      <c r="C32" s="46" t="s">
        <v>36</v>
      </c>
      <c r="D32" s="47">
        <v>38533</v>
      </c>
      <c r="E32" s="46" t="s">
        <v>77</v>
      </c>
      <c r="F32" s="45">
        <v>3</v>
      </c>
      <c r="G32" s="46" t="s">
        <v>38</v>
      </c>
      <c r="H32" s="46" t="s">
        <v>39</v>
      </c>
      <c r="I32" s="45">
        <v>110000</v>
      </c>
    </row>
    <row r="33" spans="2:9">
      <c r="B33" s="45">
        <v>31</v>
      </c>
      <c r="C33" s="46" t="s">
        <v>116</v>
      </c>
      <c r="D33" s="47">
        <v>38564</v>
      </c>
      <c r="E33" s="46" t="s">
        <v>117</v>
      </c>
      <c r="F33" s="45">
        <v>2</v>
      </c>
      <c r="G33" s="46" t="s">
        <v>118</v>
      </c>
      <c r="H33" s="46" t="s">
        <v>119</v>
      </c>
      <c r="I33" s="45">
        <v>100000</v>
      </c>
    </row>
    <row r="34" spans="2:9">
      <c r="B34" s="45">
        <v>32</v>
      </c>
      <c r="C34" s="46" t="s">
        <v>116</v>
      </c>
      <c r="D34" s="47">
        <v>38552</v>
      </c>
      <c r="E34" s="46" t="s">
        <v>120</v>
      </c>
      <c r="F34" s="45">
        <v>2</v>
      </c>
      <c r="G34" s="46" t="s">
        <v>118</v>
      </c>
      <c r="H34" s="46" t="s">
        <v>119</v>
      </c>
      <c r="I34" s="45">
        <v>100000</v>
      </c>
    </row>
    <row r="35" spans="2:9">
      <c r="B35" s="45">
        <v>33</v>
      </c>
      <c r="C35" s="46" t="s">
        <v>121</v>
      </c>
      <c r="D35" s="47">
        <v>38553</v>
      </c>
      <c r="E35" s="46" t="s">
        <v>122</v>
      </c>
      <c r="F35" s="45">
        <v>3</v>
      </c>
      <c r="G35" s="46" t="s">
        <v>123</v>
      </c>
      <c r="H35" s="46" t="s">
        <v>124</v>
      </c>
      <c r="I35" s="45">
        <v>120000</v>
      </c>
    </row>
    <row r="36" spans="2:9">
      <c r="B36" s="45">
        <v>34</v>
      </c>
      <c r="C36" s="46" t="s">
        <v>121</v>
      </c>
      <c r="D36" s="47">
        <v>38553</v>
      </c>
      <c r="E36" s="46" t="s">
        <v>125</v>
      </c>
      <c r="F36" s="45">
        <v>3</v>
      </c>
      <c r="G36" s="46" t="s">
        <v>123</v>
      </c>
      <c r="H36" s="46" t="s">
        <v>124</v>
      </c>
      <c r="I36" s="45">
        <v>120000</v>
      </c>
    </row>
    <row r="37" spans="2:9">
      <c r="B37" s="45">
        <v>35</v>
      </c>
      <c r="C37" s="46" t="s">
        <v>121</v>
      </c>
      <c r="D37" s="47">
        <v>38553</v>
      </c>
      <c r="E37" s="46" t="s">
        <v>126</v>
      </c>
      <c r="F37" s="45">
        <v>3</v>
      </c>
      <c r="G37" s="46" t="s">
        <v>127</v>
      </c>
      <c r="H37" s="46" t="s">
        <v>124</v>
      </c>
      <c r="I37" s="45">
        <v>120000</v>
      </c>
    </row>
    <row r="38" spans="2:9">
      <c r="B38" s="45">
        <v>36</v>
      </c>
      <c r="C38" s="46" t="s">
        <v>128</v>
      </c>
      <c r="D38" s="47">
        <v>38555</v>
      </c>
      <c r="E38" s="46" t="s">
        <v>129</v>
      </c>
      <c r="F38" s="45">
        <v>2</v>
      </c>
      <c r="G38" s="46" t="s">
        <v>130</v>
      </c>
      <c r="H38" s="46" t="s">
        <v>131</v>
      </c>
      <c r="I38" s="45">
        <v>100000</v>
      </c>
    </row>
    <row r="39" spans="2:9">
      <c r="B39" s="45">
        <v>37</v>
      </c>
      <c r="C39" s="46" t="s">
        <v>132</v>
      </c>
      <c r="D39" s="47">
        <v>38556</v>
      </c>
      <c r="E39" s="46" t="s">
        <v>133</v>
      </c>
      <c r="F39" s="45">
        <v>2</v>
      </c>
      <c r="G39" s="46" t="s">
        <v>118</v>
      </c>
      <c r="H39" s="46" t="s">
        <v>119</v>
      </c>
      <c r="I39" s="45">
        <v>100000</v>
      </c>
    </row>
    <row r="40" spans="2:9">
      <c r="B40" s="45">
        <v>38</v>
      </c>
      <c r="C40" s="46" t="s">
        <v>134</v>
      </c>
      <c r="D40" s="47">
        <v>38550</v>
      </c>
      <c r="E40" s="46" t="s">
        <v>135</v>
      </c>
      <c r="F40" s="45">
        <v>1</v>
      </c>
      <c r="G40" s="46" t="s">
        <v>136</v>
      </c>
      <c r="H40" s="46" t="s">
        <v>137</v>
      </c>
      <c r="I40" s="45">
        <v>90000</v>
      </c>
    </row>
    <row r="41" spans="2:9">
      <c r="B41" s="45">
        <v>39</v>
      </c>
      <c r="C41" s="46" t="s">
        <v>134</v>
      </c>
      <c r="D41" s="47">
        <v>38551</v>
      </c>
      <c r="E41" s="46" t="s">
        <v>138</v>
      </c>
      <c r="F41" s="45">
        <v>1</v>
      </c>
      <c r="G41" s="46" t="s">
        <v>136</v>
      </c>
      <c r="H41" s="46" t="s">
        <v>137</v>
      </c>
      <c r="I41" s="45">
        <v>90000</v>
      </c>
    </row>
    <row r="42" spans="2:9">
      <c r="B42" s="45">
        <v>40</v>
      </c>
      <c r="C42" s="46" t="s">
        <v>121</v>
      </c>
      <c r="D42" s="47">
        <v>38553</v>
      </c>
      <c r="E42" s="46" t="s">
        <v>139</v>
      </c>
      <c r="F42" s="45">
        <v>3</v>
      </c>
      <c r="G42" s="46" t="s">
        <v>123</v>
      </c>
      <c r="H42" s="46" t="s">
        <v>124</v>
      </c>
      <c r="I42" s="45">
        <v>120000</v>
      </c>
    </row>
    <row r="43" spans="2:9">
      <c r="B43" s="45">
        <v>41</v>
      </c>
      <c r="C43" s="46" t="s">
        <v>134</v>
      </c>
      <c r="D43" s="47">
        <v>38536</v>
      </c>
      <c r="E43" s="46" t="s">
        <v>140</v>
      </c>
      <c r="F43" s="45">
        <v>1</v>
      </c>
      <c r="G43" s="46" t="s">
        <v>136</v>
      </c>
      <c r="H43" s="46" t="s">
        <v>137</v>
      </c>
      <c r="I43" s="45">
        <v>90000</v>
      </c>
    </row>
    <row r="44" spans="2:9">
      <c r="B44" s="45">
        <v>42</v>
      </c>
      <c r="C44" s="46" t="s">
        <v>134</v>
      </c>
      <c r="D44" s="47">
        <v>38546</v>
      </c>
      <c r="E44" s="46" t="s">
        <v>141</v>
      </c>
      <c r="F44" s="45">
        <v>1</v>
      </c>
      <c r="G44" s="46" t="s">
        <v>136</v>
      </c>
      <c r="H44" s="46" t="s">
        <v>137</v>
      </c>
      <c r="I44" s="45">
        <v>90000</v>
      </c>
    </row>
    <row r="45" spans="2:9">
      <c r="B45" s="45">
        <v>43</v>
      </c>
      <c r="C45" s="46" t="s">
        <v>132</v>
      </c>
      <c r="D45" s="47">
        <v>38558</v>
      </c>
      <c r="E45" s="46" t="s">
        <v>142</v>
      </c>
      <c r="F45" s="45">
        <v>2</v>
      </c>
      <c r="G45" s="46" t="s">
        <v>118</v>
      </c>
      <c r="H45" s="46" t="s">
        <v>119</v>
      </c>
      <c r="I45" s="45">
        <v>100000</v>
      </c>
    </row>
    <row r="46" spans="2:9">
      <c r="B46" s="45">
        <v>44</v>
      </c>
      <c r="C46" s="46" t="s">
        <v>134</v>
      </c>
      <c r="D46" s="47">
        <v>38547</v>
      </c>
      <c r="E46" s="46" t="s">
        <v>143</v>
      </c>
      <c r="F46" s="45">
        <v>1</v>
      </c>
      <c r="G46" s="46" t="s">
        <v>136</v>
      </c>
      <c r="H46" s="46" t="s">
        <v>137</v>
      </c>
      <c r="I46" s="45">
        <v>90000</v>
      </c>
    </row>
    <row r="47" spans="2:9">
      <c r="B47" s="45">
        <v>45</v>
      </c>
      <c r="C47" s="46" t="s">
        <v>134</v>
      </c>
      <c r="D47" s="47">
        <v>38548</v>
      </c>
      <c r="E47" s="46" t="s">
        <v>144</v>
      </c>
      <c r="F47" s="45">
        <v>2</v>
      </c>
      <c r="G47" s="46" t="s">
        <v>136</v>
      </c>
      <c r="H47" s="46" t="s">
        <v>137</v>
      </c>
      <c r="I47" s="45">
        <v>100000</v>
      </c>
    </row>
    <row r="48" spans="2:9">
      <c r="B48" s="45">
        <v>46</v>
      </c>
      <c r="C48" s="46" t="s">
        <v>134</v>
      </c>
      <c r="D48" s="47">
        <v>38549</v>
      </c>
      <c r="E48" s="46" t="s">
        <v>145</v>
      </c>
      <c r="F48" s="45">
        <v>1</v>
      </c>
      <c r="G48" s="46" t="s">
        <v>136</v>
      </c>
      <c r="H48" s="46" t="s">
        <v>137</v>
      </c>
      <c r="I48" s="45">
        <v>90000</v>
      </c>
    </row>
    <row r="52" spans="2:9">
      <c r="B52" s="90"/>
      <c r="C52" s="90"/>
      <c r="D52" s="90" t="s">
        <v>198</v>
      </c>
      <c r="E52" s="90"/>
      <c r="F52" s="90"/>
      <c r="G52" s="90"/>
      <c r="H52" s="90"/>
      <c r="I52" s="90"/>
    </row>
    <row r="53" spans="2:9">
      <c r="B53" s="90"/>
      <c r="C53" s="90"/>
      <c r="D53" s="132">
        <v>1</v>
      </c>
      <c r="E53" s="133"/>
      <c r="F53" s="132">
        <v>2</v>
      </c>
      <c r="G53" s="133"/>
      <c r="H53" s="132">
        <v>3</v>
      </c>
      <c r="I53" s="134"/>
    </row>
    <row r="54" spans="2:9">
      <c r="B54" s="91" t="s">
        <v>196</v>
      </c>
      <c r="C54" s="92" t="s">
        <v>5</v>
      </c>
      <c r="D54" s="102" t="s">
        <v>7</v>
      </c>
      <c r="E54" s="103" t="s">
        <v>201</v>
      </c>
      <c r="F54" s="102" t="s">
        <v>7</v>
      </c>
      <c r="G54" s="103" t="s">
        <v>201</v>
      </c>
      <c r="H54" s="102" t="s">
        <v>7</v>
      </c>
      <c r="I54" s="104" t="s">
        <v>201</v>
      </c>
    </row>
    <row r="55" spans="2:9" ht="18" thickBot="1">
      <c r="B55" s="135" t="s">
        <v>199</v>
      </c>
      <c r="C55" s="105" t="s">
        <v>10</v>
      </c>
      <c r="D55" s="106">
        <v>100000</v>
      </c>
      <c r="E55" s="107">
        <v>20000</v>
      </c>
      <c r="F55" s="106">
        <v>330000</v>
      </c>
      <c r="G55" s="107">
        <v>66000</v>
      </c>
      <c r="H55" s="106">
        <v>480000</v>
      </c>
      <c r="I55" s="108">
        <v>96000</v>
      </c>
    </row>
    <row r="56" spans="2:9" ht="17.25" thickTop="1">
      <c r="B56" s="136"/>
      <c r="C56" s="93" t="s">
        <v>18</v>
      </c>
      <c r="D56" s="109">
        <v>200000</v>
      </c>
      <c r="E56" s="89">
        <v>40000</v>
      </c>
      <c r="F56" s="109"/>
      <c r="G56" s="89">
        <v>0</v>
      </c>
      <c r="H56" s="109">
        <v>120000</v>
      </c>
      <c r="I56" s="110">
        <v>24000</v>
      </c>
    </row>
    <row r="57" spans="2:9">
      <c r="B57" s="136"/>
      <c r="C57" s="93" t="s">
        <v>38</v>
      </c>
      <c r="D57" s="109">
        <v>360000</v>
      </c>
      <c r="E57" s="89">
        <v>72000</v>
      </c>
      <c r="F57" s="109">
        <v>100000</v>
      </c>
      <c r="G57" s="89">
        <v>20000</v>
      </c>
      <c r="H57" s="109">
        <v>440000</v>
      </c>
      <c r="I57" s="110">
        <v>88000</v>
      </c>
    </row>
    <row r="58" spans="2:9">
      <c r="B58" s="136"/>
      <c r="C58" s="93" t="s">
        <v>23</v>
      </c>
      <c r="D58" s="109">
        <v>450000</v>
      </c>
      <c r="E58" s="89">
        <v>90000</v>
      </c>
      <c r="F58" s="109">
        <v>300000</v>
      </c>
      <c r="G58" s="89">
        <v>60000</v>
      </c>
      <c r="H58" s="109">
        <v>220000</v>
      </c>
      <c r="I58" s="110">
        <v>44000</v>
      </c>
    </row>
    <row r="59" spans="2:9" ht="18" thickBot="1">
      <c r="B59" s="142" t="s">
        <v>235</v>
      </c>
      <c r="C59" s="141"/>
      <c r="D59" s="139">
        <v>1110000</v>
      </c>
      <c r="E59" s="139">
        <v>222000</v>
      </c>
      <c r="F59" s="139">
        <v>730000</v>
      </c>
      <c r="G59" s="139">
        <v>146000</v>
      </c>
      <c r="H59" s="139">
        <v>1260000</v>
      </c>
      <c r="I59" s="140">
        <v>252000</v>
      </c>
    </row>
    <row r="60" spans="2:9" ht="17.25" thickTop="1">
      <c r="B60" s="128"/>
      <c r="C60" s="129"/>
      <c r="D60" s="106"/>
      <c r="E60" s="107"/>
      <c r="F60" s="106"/>
      <c r="G60" s="107"/>
      <c r="H60" s="106"/>
      <c r="I60" s="111"/>
    </row>
    <row r="61" spans="2:9" ht="18" thickBot="1">
      <c r="B61" s="135" t="s">
        <v>200</v>
      </c>
      <c r="C61" s="105" t="s">
        <v>136</v>
      </c>
      <c r="D61" s="106">
        <v>540000</v>
      </c>
      <c r="E61" s="107">
        <v>108000</v>
      </c>
      <c r="F61" s="106">
        <v>100000</v>
      </c>
      <c r="G61" s="107">
        <v>20000</v>
      </c>
      <c r="H61" s="106"/>
      <c r="I61" s="108">
        <v>0</v>
      </c>
    </row>
    <row r="62" spans="2:9" ht="17.25" thickTop="1">
      <c r="B62" s="136"/>
      <c r="C62" s="93" t="s">
        <v>127</v>
      </c>
      <c r="D62" s="109"/>
      <c r="E62" s="89">
        <v>0</v>
      </c>
      <c r="F62" s="109"/>
      <c r="G62" s="89">
        <v>0</v>
      </c>
      <c r="H62" s="109">
        <v>120000</v>
      </c>
      <c r="I62" s="110">
        <v>24000</v>
      </c>
    </row>
    <row r="63" spans="2:9">
      <c r="B63" s="136"/>
      <c r="C63" s="93" t="s">
        <v>123</v>
      </c>
      <c r="D63" s="109"/>
      <c r="E63" s="89">
        <v>0</v>
      </c>
      <c r="F63" s="109"/>
      <c r="G63" s="89">
        <v>0</v>
      </c>
      <c r="H63" s="109">
        <v>360000</v>
      </c>
      <c r="I63" s="110">
        <v>72000</v>
      </c>
    </row>
    <row r="64" spans="2:9">
      <c r="B64" s="136"/>
      <c r="C64" s="93" t="s">
        <v>118</v>
      </c>
      <c r="D64" s="109"/>
      <c r="E64" s="89">
        <v>0</v>
      </c>
      <c r="F64" s="109">
        <v>400000</v>
      </c>
      <c r="G64" s="89">
        <v>80000</v>
      </c>
      <c r="H64" s="109"/>
      <c r="I64" s="110">
        <v>0</v>
      </c>
    </row>
    <row r="65" spans="2:9">
      <c r="B65" s="136"/>
      <c r="C65" s="93" t="s">
        <v>130</v>
      </c>
      <c r="D65" s="109"/>
      <c r="E65" s="89">
        <v>0</v>
      </c>
      <c r="F65" s="109">
        <v>100000</v>
      </c>
      <c r="G65" s="89">
        <v>20000</v>
      </c>
      <c r="H65" s="109"/>
      <c r="I65" s="110">
        <v>0</v>
      </c>
    </row>
    <row r="66" spans="2:9" ht="18" thickBot="1">
      <c r="B66" s="142" t="s">
        <v>236</v>
      </c>
      <c r="C66" s="141"/>
      <c r="D66" s="139">
        <v>540000</v>
      </c>
      <c r="E66" s="139">
        <v>108000</v>
      </c>
      <c r="F66" s="139">
        <v>600000</v>
      </c>
      <c r="G66" s="139">
        <v>120000</v>
      </c>
      <c r="H66" s="139">
        <v>480000</v>
      </c>
      <c r="I66" s="140">
        <v>96000</v>
      </c>
    </row>
    <row r="67" spans="2:9" ht="17.25" thickTop="1">
      <c r="B67" s="128"/>
      <c r="C67" s="129"/>
      <c r="D67" s="106"/>
      <c r="E67" s="107"/>
      <c r="F67" s="106"/>
      <c r="G67" s="107"/>
      <c r="H67" s="106"/>
      <c r="I67" s="111"/>
    </row>
    <row r="68" spans="2:9" ht="17.25" thickBot="1">
      <c r="B68" s="130" t="s">
        <v>197</v>
      </c>
      <c r="C68" s="131"/>
      <c r="D68" s="94">
        <v>1650000</v>
      </c>
      <c r="E68" s="94">
        <v>330000</v>
      </c>
      <c r="F68" s="94">
        <v>1330000</v>
      </c>
      <c r="G68" s="94">
        <v>266000</v>
      </c>
      <c r="H68" s="94">
        <v>1740000</v>
      </c>
      <c r="I68" s="95">
        <v>348000</v>
      </c>
    </row>
    <row r="69" spans="2:9" ht="17.25" thickTop="1"/>
  </sheetData>
  <mergeCells count="10">
    <mergeCell ref="B67:C67"/>
    <mergeCell ref="B68:C68"/>
    <mergeCell ref="D53:E53"/>
    <mergeCell ref="F53:G53"/>
    <mergeCell ref="H53:I53"/>
    <mergeCell ref="B55:B58"/>
    <mergeCell ref="B59:C59"/>
    <mergeCell ref="B60:C60"/>
    <mergeCell ref="B61:B65"/>
    <mergeCell ref="B66:C66"/>
  </mergeCells>
  <phoneticPr fontId="1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55"/>
  <sheetViews>
    <sheetView topLeftCell="A16" workbookViewId="0">
      <selection activeCell="G26" sqref="G26"/>
    </sheetView>
  </sheetViews>
  <sheetFormatPr defaultRowHeight="16.5"/>
  <cols>
    <col min="1" max="1" width="3.25" style="3" customWidth="1"/>
    <col min="2" max="2" width="9.25" style="3" bestFit="1" customWidth="1"/>
    <col min="3" max="3" width="8.875" style="3" customWidth="1"/>
    <col min="4" max="4" width="10.25" style="3" customWidth="1"/>
    <col min="5" max="5" width="16.75" style="3" customWidth="1"/>
    <col min="6" max="6" width="9" style="3"/>
    <col min="7" max="7" width="9.25" style="3" bestFit="1" customWidth="1"/>
    <col min="8" max="8" width="9.125" style="3" bestFit="1" customWidth="1"/>
    <col min="9" max="9" width="13.375" style="3" customWidth="1"/>
    <col min="10" max="10" width="13" style="3" bestFit="1" customWidth="1"/>
    <col min="11" max="256" width="9" style="3"/>
    <col min="257" max="257" width="3.25" style="3" customWidth="1"/>
    <col min="258" max="258" width="9.25" style="3" bestFit="1" customWidth="1"/>
    <col min="259" max="260" width="7.375" style="3" bestFit="1" customWidth="1"/>
    <col min="261" max="261" width="14.25" style="3" bestFit="1" customWidth="1"/>
    <col min="262" max="262" width="9" style="3"/>
    <col min="263" max="263" width="9.25" style="3" bestFit="1" customWidth="1"/>
    <col min="264" max="265" width="7.375" style="3" bestFit="1" customWidth="1"/>
    <col min="266" max="266" width="13" style="3" bestFit="1" customWidth="1"/>
    <col min="267" max="512" width="9" style="3"/>
    <col min="513" max="513" width="3.25" style="3" customWidth="1"/>
    <col min="514" max="514" width="9.25" style="3" bestFit="1" customWidth="1"/>
    <col min="515" max="516" width="7.375" style="3" bestFit="1" customWidth="1"/>
    <col min="517" max="517" width="14.25" style="3" bestFit="1" customWidth="1"/>
    <col min="518" max="518" width="9" style="3"/>
    <col min="519" max="519" width="9.25" style="3" bestFit="1" customWidth="1"/>
    <col min="520" max="521" width="7.375" style="3" bestFit="1" customWidth="1"/>
    <col min="522" max="522" width="13" style="3" bestFit="1" customWidth="1"/>
    <col min="523" max="768" width="9" style="3"/>
    <col min="769" max="769" width="3.25" style="3" customWidth="1"/>
    <col min="770" max="770" width="9.25" style="3" bestFit="1" customWidth="1"/>
    <col min="771" max="772" width="7.375" style="3" bestFit="1" customWidth="1"/>
    <col min="773" max="773" width="14.25" style="3" bestFit="1" customWidth="1"/>
    <col min="774" max="774" width="9" style="3"/>
    <col min="775" max="775" width="9.25" style="3" bestFit="1" customWidth="1"/>
    <col min="776" max="777" width="7.375" style="3" bestFit="1" customWidth="1"/>
    <col min="778" max="778" width="13" style="3" bestFit="1" customWidth="1"/>
    <col min="779" max="1024" width="9" style="3"/>
    <col min="1025" max="1025" width="3.25" style="3" customWidth="1"/>
    <col min="1026" max="1026" width="9.25" style="3" bestFit="1" customWidth="1"/>
    <col min="1027" max="1028" width="7.375" style="3" bestFit="1" customWidth="1"/>
    <col min="1029" max="1029" width="14.25" style="3" bestFit="1" customWidth="1"/>
    <col min="1030" max="1030" width="9" style="3"/>
    <col min="1031" max="1031" width="9.25" style="3" bestFit="1" customWidth="1"/>
    <col min="1032" max="1033" width="7.375" style="3" bestFit="1" customWidth="1"/>
    <col min="1034" max="1034" width="13" style="3" bestFit="1" customWidth="1"/>
    <col min="1035" max="1280" width="9" style="3"/>
    <col min="1281" max="1281" width="3.25" style="3" customWidth="1"/>
    <col min="1282" max="1282" width="9.25" style="3" bestFit="1" customWidth="1"/>
    <col min="1283" max="1284" width="7.375" style="3" bestFit="1" customWidth="1"/>
    <col min="1285" max="1285" width="14.25" style="3" bestFit="1" customWidth="1"/>
    <col min="1286" max="1286" width="9" style="3"/>
    <col min="1287" max="1287" width="9.25" style="3" bestFit="1" customWidth="1"/>
    <col min="1288" max="1289" width="7.375" style="3" bestFit="1" customWidth="1"/>
    <col min="1290" max="1290" width="13" style="3" bestFit="1" customWidth="1"/>
    <col min="1291" max="1536" width="9" style="3"/>
    <col min="1537" max="1537" width="3.25" style="3" customWidth="1"/>
    <col min="1538" max="1538" width="9.25" style="3" bestFit="1" customWidth="1"/>
    <col min="1539" max="1540" width="7.375" style="3" bestFit="1" customWidth="1"/>
    <col min="1541" max="1541" width="14.25" style="3" bestFit="1" customWidth="1"/>
    <col min="1542" max="1542" width="9" style="3"/>
    <col min="1543" max="1543" width="9.25" style="3" bestFit="1" customWidth="1"/>
    <col min="1544" max="1545" width="7.375" style="3" bestFit="1" customWidth="1"/>
    <col min="1546" max="1546" width="13" style="3" bestFit="1" customWidth="1"/>
    <col min="1547" max="1792" width="9" style="3"/>
    <col min="1793" max="1793" width="3.25" style="3" customWidth="1"/>
    <col min="1794" max="1794" width="9.25" style="3" bestFit="1" customWidth="1"/>
    <col min="1795" max="1796" width="7.375" style="3" bestFit="1" customWidth="1"/>
    <col min="1797" max="1797" width="14.25" style="3" bestFit="1" customWidth="1"/>
    <col min="1798" max="1798" width="9" style="3"/>
    <col min="1799" max="1799" width="9.25" style="3" bestFit="1" customWidth="1"/>
    <col min="1800" max="1801" width="7.375" style="3" bestFit="1" customWidth="1"/>
    <col min="1802" max="1802" width="13" style="3" bestFit="1" customWidth="1"/>
    <col min="1803" max="2048" width="9" style="3"/>
    <col min="2049" max="2049" width="3.25" style="3" customWidth="1"/>
    <col min="2050" max="2050" width="9.25" style="3" bestFit="1" customWidth="1"/>
    <col min="2051" max="2052" width="7.375" style="3" bestFit="1" customWidth="1"/>
    <col min="2053" max="2053" width="14.25" style="3" bestFit="1" customWidth="1"/>
    <col min="2054" max="2054" width="9" style="3"/>
    <col min="2055" max="2055" width="9.25" style="3" bestFit="1" customWidth="1"/>
    <col min="2056" max="2057" width="7.375" style="3" bestFit="1" customWidth="1"/>
    <col min="2058" max="2058" width="13" style="3" bestFit="1" customWidth="1"/>
    <col min="2059" max="2304" width="9" style="3"/>
    <col min="2305" max="2305" width="3.25" style="3" customWidth="1"/>
    <col min="2306" max="2306" width="9.25" style="3" bestFit="1" customWidth="1"/>
    <col min="2307" max="2308" width="7.375" style="3" bestFit="1" customWidth="1"/>
    <col min="2309" max="2309" width="14.25" style="3" bestFit="1" customWidth="1"/>
    <col min="2310" max="2310" width="9" style="3"/>
    <col min="2311" max="2311" width="9.25" style="3" bestFit="1" customWidth="1"/>
    <col min="2312" max="2313" width="7.375" style="3" bestFit="1" customWidth="1"/>
    <col min="2314" max="2314" width="13" style="3" bestFit="1" customWidth="1"/>
    <col min="2315" max="2560" width="9" style="3"/>
    <col min="2561" max="2561" width="3.25" style="3" customWidth="1"/>
    <col min="2562" max="2562" width="9.25" style="3" bestFit="1" customWidth="1"/>
    <col min="2563" max="2564" width="7.375" style="3" bestFit="1" customWidth="1"/>
    <col min="2565" max="2565" width="14.25" style="3" bestFit="1" customWidth="1"/>
    <col min="2566" max="2566" width="9" style="3"/>
    <col min="2567" max="2567" width="9.25" style="3" bestFit="1" customWidth="1"/>
    <col min="2568" max="2569" width="7.375" style="3" bestFit="1" customWidth="1"/>
    <col min="2570" max="2570" width="13" style="3" bestFit="1" customWidth="1"/>
    <col min="2571" max="2816" width="9" style="3"/>
    <col min="2817" max="2817" width="3.25" style="3" customWidth="1"/>
    <col min="2818" max="2818" width="9.25" style="3" bestFit="1" customWidth="1"/>
    <col min="2819" max="2820" width="7.375" style="3" bestFit="1" customWidth="1"/>
    <col min="2821" max="2821" width="14.25" style="3" bestFit="1" customWidth="1"/>
    <col min="2822" max="2822" width="9" style="3"/>
    <col min="2823" max="2823" width="9.25" style="3" bestFit="1" customWidth="1"/>
    <col min="2824" max="2825" width="7.375" style="3" bestFit="1" customWidth="1"/>
    <col min="2826" max="2826" width="13" style="3" bestFit="1" customWidth="1"/>
    <col min="2827" max="3072" width="9" style="3"/>
    <col min="3073" max="3073" width="3.25" style="3" customWidth="1"/>
    <col min="3074" max="3074" width="9.25" style="3" bestFit="1" customWidth="1"/>
    <col min="3075" max="3076" width="7.375" style="3" bestFit="1" customWidth="1"/>
    <col min="3077" max="3077" width="14.25" style="3" bestFit="1" customWidth="1"/>
    <col min="3078" max="3078" width="9" style="3"/>
    <col min="3079" max="3079" width="9.25" style="3" bestFit="1" customWidth="1"/>
    <col min="3080" max="3081" width="7.375" style="3" bestFit="1" customWidth="1"/>
    <col min="3082" max="3082" width="13" style="3" bestFit="1" customWidth="1"/>
    <col min="3083" max="3328" width="9" style="3"/>
    <col min="3329" max="3329" width="3.25" style="3" customWidth="1"/>
    <col min="3330" max="3330" width="9.25" style="3" bestFit="1" customWidth="1"/>
    <col min="3331" max="3332" width="7.375" style="3" bestFit="1" customWidth="1"/>
    <col min="3333" max="3333" width="14.25" style="3" bestFit="1" customWidth="1"/>
    <col min="3334" max="3334" width="9" style="3"/>
    <col min="3335" max="3335" width="9.25" style="3" bestFit="1" customWidth="1"/>
    <col min="3336" max="3337" width="7.375" style="3" bestFit="1" customWidth="1"/>
    <col min="3338" max="3338" width="13" style="3" bestFit="1" customWidth="1"/>
    <col min="3339" max="3584" width="9" style="3"/>
    <col min="3585" max="3585" width="3.25" style="3" customWidth="1"/>
    <col min="3586" max="3586" width="9.25" style="3" bestFit="1" customWidth="1"/>
    <col min="3587" max="3588" width="7.375" style="3" bestFit="1" customWidth="1"/>
    <col min="3589" max="3589" width="14.25" style="3" bestFit="1" customWidth="1"/>
    <col min="3590" max="3590" width="9" style="3"/>
    <col min="3591" max="3591" width="9.25" style="3" bestFit="1" customWidth="1"/>
    <col min="3592" max="3593" width="7.375" style="3" bestFit="1" customWidth="1"/>
    <col min="3594" max="3594" width="13" style="3" bestFit="1" customWidth="1"/>
    <col min="3595" max="3840" width="9" style="3"/>
    <col min="3841" max="3841" width="3.25" style="3" customWidth="1"/>
    <col min="3842" max="3842" width="9.25" style="3" bestFit="1" customWidth="1"/>
    <col min="3843" max="3844" width="7.375" style="3" bestFit="1" customWidth="1"/>
    <col min="3845" max="3845" width="14.25" style="3" bestFit="1" customWidth="1"/>
    <col min="3846" max="3846" width="9" style="3"/>
    <col min="3847" max="3847" width="9.25" style="3" bestFit="1" customWidth="1"/>
    <col min="3848" max="3849" width="7.375" style="3" bestFit="1" customWidth="1"/>
    <col min="3850" max="3850" width="13" style="3" bestFit="1" customWidth="1"/>
    <col min="3851" max="4096" width="9" style="3"/>
    <col min="4097" max="4097" width="3.25" style="3" customWidth="1"/>
    <col min="4098" max="4098" width="9.25" style="3" bestFit="1" customWidth="1"/>
    <col min="4099" max="4100" width="7.375" style="3" bestFit="1" customWidth="1"/>
    <col min="4101" max="4101" width="14.25" style="3" bestFit="1" customWidth="1"/>
    <col min="4102" max="4102" width="9" style="3"/>
    <col min="4103" max="4103" width="9.25" style="3" bestFit="1" customWidth="1"/>
    <col min="4104" max="4105" width="7.375" style="3" bestFit="1" customWidth="1"/>
    <col min="4106" max="4106" width="13" style="3" bestFit="1" customWidth="1"/>
    <col min="4107" max="4352" width="9" style="3"/>
    <col min="4353" max="4353" width="3.25" style="3" customWidth="1"/>
    <col min="4354" max="4354" width="9.25" style="3" bestFit="1" customWidth="1"/>
    <col min="4355" max="4356" width="7.375" style="3" bestFit="1" customWidth="1"/>
    <col min="4357" max="4357" width="14.25" style="3" bestFit="1" customWidth="1"/>
    <col min="4358" max="4358" width="9" style="3"/>
    <col min="4359" max="4359" width="9.25" style="3" bestFit="1" customWidth="1"/>
    <col min="4360" max="4361" width="7.375" style="3" bestFit="1" customWidth="1"/>
    <col min="4362" max="4362" width="13" style="3" bestFit="1" customWidth="1"/>
    <col min="4363" max="4608" width="9" style="3"/>
    <col min="4609" max="4609" width="3.25" style="3" customWidth="1"/>
    <col min="4610" max="4610" width="9.25" style="3" bestFit="1" customWidth="1"/>
    <col min="4611" max="4612" width="7.375" style="3" bestFit="1" customWidth="1"/>
    <col min="4613" max="4613" width="14.25" style="3" bestFit="1" customWidth="1"/>
    <col min="4614" max="4614" width="9" style="3"/>
    <col min="4615" max="4615" width="9.25" style="3" bestFit="1" customWidth="1"/>
    <col min="4616" max="4617" width="7.375" style="3" bestFit="1" customWidth="1"/>
    <col min="4618" max="4618" width="13" style="3" bestFit="1" customWidth="1"/>
    <col min="4619" max="4864" width="9" style="3"/>
    <col min="4865" max="4865" width="3.25" style="3" customWidth="1"/>
    <col min="4866" max="4866" width="9.25" style="3" bestFit="1" customWidth="1"/>
    <col min="4867" max="4868" width="7.375" style="3" bestFit="1" customWidth="1"/>
    <col min="4869" max="4869" width="14.25" style="3" bestFit="1" customWidth="1"/>
    <col min="4870" max="4870" width="9" style="3"/>
    <col min="4871" max="4871" width="9.25" style="3" bestFit="1" customWidth="1"/>
    <col min="4872" max="4873" width="7.375" style="3" bestFit="1" customWidth="1"/>
    <col min="4874" max="4874" width="13" style="3" bestFit="1" customWidth="1"/>
    <col min="4875" max="5120" width="9" style="3"/>
    <col min="5121" max="5121" width="3.25" style="3" customWidth="1"/>
    <col min="5122" max="5122" width="9.25" style="3" bestFit="1" customWidth="1"/>
    <col min="5123" max="5124" width="7.375" style="3" bestFit="1" customWidth="1"/>
    <col min="5125" max="5125" width="14.25" style="3" bestFit="1" customWidth="1"/>
    <col min="5126" max="5126" width="9" style="3"/>
    <col min="5127" max="5127" width="9.25" style="3" bestFit="1" customWidth="1"/>
    <col min="5128" max="5129" width="7.375" style="3" bestFit="1" customWidth="1"/>
    <col min="5130" max="5130" width="13" style="3" bestFit="1" customWidth="1"/>
    <col min="5131" max="5376" width="9" style="3"/>
    <col min="5377" max="5377" width="3.25" style="3" customWidth="1"/>
    <col min="5378" max="5378" width="9.25" style="3" bestFit="1" customWidth="1"/>
    <col min="5379" max="5380" width="7.375" style="3" bestFit="1" customWidth="1"/>
    <col min="5381" max="5381" width="14.25" style="3" bestFit="1" customWidth="1"/>
    <col min="5382" max="5382" width="9" style="3"/>
    <col min="5383" max="5383" width="9.25" style="3" bestFit="1" customWidth="1"/>
    <col min="5384" max="5385" width="7.375" style="3" bestFit="1" customWidth="1"/>
    <col min="5386" max="5386" width="13" style="3" bestFit="1" customWidth="1"/>
    <col min="5387" max="5632" width="9" style="3"/>
    <col min="5633" max="5633" width="3.25" style="3" customWidth="1"/>
    <col min="5634" max="5634" width="9.25" style="3" bestFit="1" customWidth="1"/>
    <col min="5635" max="5636" width="7.375" style="3" bestFit="1" customWidth="1"/>
    <col min="5637" max="5637" width="14.25" style="3" bestFit="1" customWidth="1"/>
    <col min="5638" max="5638" width="9" style="3"/>
    <col min="5639" max="5639" width="9.25" style="3" bestFit="1" customWidth="1"/>
    <col min="5640" max="5641" width="7.375" style="3" bestFit="1" customWidth="1"/>
    <col min="5642" max="5642" width="13" style="3" bestFit="1" customWidth="1"/>
    <col min="5643" max="5888" width="9" style="3"/>
    <col min="5889" max="5889" width="3.25" style="3" customWidth="1"/>
    <col min="5890" max="5890" width="9.25" style="3" bestFit="1" customWidth="1"/>
    <col min="5891" max="5892" width="7.375" style="3" bestFit="1" customWidth="1"/>
    <col min="5893" max="5893" width="14.25" style="3" bestFit="1" customWidth="1"/>
    <col min="5894" max="5894" width="9" style="3"/>
    <col min="5895" max="5895" width="9.25" style="3" bestFit="1" customWidth="1"/>
    <col min="5896" max="5897" width="7.375" style="3" bestFit="1" customWidth="1"/>
    <col min="5898" max="5898" width="13" style="3" bestFit="1" customWidth="1"/>
    <col min="5899" max="6144" width="9" style="3"/>
    <col min="6145" max="6145" width="3.25" style="3" customWidth="1"/>
    <col min="6146" max="6146" width="9.25" style="3" bestFit="1" customWidth="1"/>
    <col min="6147" max="6148" width="7.375" style="3" bestFit="1" customWidth="1"/>
    <col min="6149" max="6149" width="14.25" style="3" bestFit="1" customWidth="1"/>
    <col min="6150" max="6150" width="9" style="3"/>
    <col min="6151" max="6151" width="9.25" style="3" bestFit="1" customWidth="1"/>
    <col min="6152" max="6153" width="7.375" style="3" bestFit="1" customWidth="1"/>
    <col min="6154" max="6154" width="13" style="3" bestFit="1" customWidth="1"/>
    <col min="6155" max="6400" width="9" style="3"/>
    <col min="6401" max="6401" width="3.25" style="3" customWidth="1"/>
    <col min="6402" max="6402" width="9.25" style="3" bestFit="1" customWidth="1"/>
    <col min="6403" max="6404" width="7.375" style="3" bestFit="1" customWidth="1"/>
    <col min="6405" max="6405" width="14.25" style="3" bestFit="1" customWidth="1"/>
    <col min="6406" max="6406" width="9" style="3"/>
    <col min="6407" max="6407" width="9.25" style="3" bestFit="1" customWidth="1"/>
    <col min="6408" max="6409" width="7.375" style="3" bestFit="1" customWidth="1"/>
    <col min="6410" max="6410" width="13" style="3" bestFit="1" customWidth="1"/>
    <col min="6411" max="6656" width="9" style="3"/>
    <col min="6657" max="6657" width="3.25" style="3" customWidth="1"/>
    <col min="6658" max="6658" width="9.25" style="3" bestFit="1" customWidth="1"/>
    <col min="6659" max="6660" width="7.375" style="3" bestFit="1" customWidth="1"/>
    <col min="6661" max="6661" width="14.25" style="3" bestFit="1" customWidth="1"/>
    <col min="6662" max="6662" width="9" style="3"/>
    <col min="6663" max="6663" width="9.25" style="3" bestFit="1" customWidth="1"/>
    <col min="6664" max="6665" width="7.375" style="3" bestFit="1" customWidth="1"/>
    <col min="6666" max="6666" width="13" style="3" bestFit="1" customWidth="1"/>
    <col min="6667" max="6912" width="9" style="3"/>
    <col min="6913" max="6913" width="3.25" style="3" customWidth="1"/>
    <col min="6914" max="6914" width="9.25" style="3" bestFit="1" customWidth="1"/>
    <col min="6915" max="6916" width="7.375" style="3" bestFit="1" customWidth="1"/>
    <col min="6917" max="6917" width="14.25" style="3" bestFit="1" customWidth="1"/>
    <col min="6918" max="6918" width="9" style="3"/>
    <col min="6919" max="6919" width="9.25" style="3" bestFit="1" customWidth="1"/>
    <col min="6920" max="6921" width="7.375" style="3" bestFit="1" customWidth="1"/>
    <col min="6922" max="6922" width="13" style="3" bestFit="1" customWidth="1"/>
    <col min="6923" max="7168" width="9" style="3"/>
    <col min="7169" max="7169" width="3.25" style="3" customWidth="1"/>
    <col min="7170" max="7170" width="9.25" style="3" bestFit="1" customWidth="1"/>
    <col min="7171" max="7172" width="7.375" style="3" bestFit="1" customWidth="1"/>
    <col min="7173" max="7173" width="14.25" style="3" bestFit="1" customWidth="1"/>
    <col min="7174" max="7174" width="9" style="3"/>
    <col min="7175" max="7175" width="9.25" style="3" bestFit="1" customWidth="1"/>
    <col min="7176" max="7177" width="7.375" style="3" bestFit="1" customWidth="1"/>
    <col min="7178" max="7178" width="13" style="3" bestFit="1" customWidth="1"/>
    <col min="7179" max="7424" width="9" style="3"/>
    <col min="7425" max="7425" width="3.25" style="3" customWidth="1"/>
    <col min="7426" max="7426" width="9.25" style="3" bestFit="1" customWidth="1"/>
    <col min="7427" max="7428" width="7.375" style="3" bestFit="1" customWidth="1"/>
    <col min="7429" max="7429" width="14.25" style="3" bestFit="1" customWidth="1"/>
    <col min="7430" max="7430" width="9" style="3"/>
    <col min="7431" max="7431" width="9.25" style="3" bestFit="1" customWidth="1"/>
    <col min="7432" max="7433" width="7.375" style="3" bestFit="1" customWidth="1"/>
    <col min="7434" max="7434" width="13" style="3" bestFit="1" customWidth="1"/>
    <col min="7435" max="7680" width="9" style="3"/>
    <col min="7681" max="7681" width="3.25" style="3" customWidth="1"/>
    <col min="7682" max="7682" width="9.25" style="3" bestFit="1" customWidth="1"/>
    <col min="7683" max="7684" width="7.375" style="3" bestFit="1" customWidth="1"/>
    <col min="7685" max="7685" width="14.25" style="3" bestFit="1" customWidth="1"/>
    <col min="7686" max="7686" width="9" style="3"/>
    <col min="7687" max="7687" width="9.25" style="3" bestFit="1" customWidth="1"/>
    <col min="7688" max="7689" width="7.375" style="3" bestFit="1" customWidth="1"/>
    <col min="7690" max="7690" width="13" style="3" bestFit="1" customWidth="1"/>
    <col min="7691" max="7936" width="9" style="3"/>
    <col min="7937" max="7937" width="3.25" style="3" customWidth="1"/>
    <col min="7938" max="7938" width="9.25" style="3" bestFit="1" customWidth="1"/>
    <col min="7939" max="7940" width="7.375" style="3" bestFit="1" customWidth="1"/>
    <col min="7941" max="7941" width="14.25" style="3" bestFit="1" customWidth="1"/>
    <col min="7942" max="7942" width="9" style="3"/>
    <col min="7943" max="7943" width="9.25" style="3" bestFit="1" customWidth="1"/>
    <col min="7944" max="7945" width="7.375" style="3" bestFit="1" customWidth="1"/>
    <col min="7946" max="7946" width="13" style="3" bestFit="1" customWidth="1"/>
    <col min="7947" max="8192" width="9" style="3"/>
    <col min="8193" max="8193" width="3.25" style="3" customWidth="1"/>
    <col min="8194" max="8194" width="9.25" style="3" bestFit="1" customWidth="1"/>
    <col min="8195" max="8196" width="7.375" style="3" bestFit="1" customWidth="1"/>
    <col min="8197" max="8197" width="14.25" style="3" bestFit="1" customWidth="1"/>
    <col min="8198" max="8198" width="9" style="3"/>
    <col min="8199" max="8199" width="9.25" style="3" bestFit="1" customWidth="1"/>
    <col min="8200" max="8201" width="7.375" style="3" bestFit="1" customWidth="1"/>
    <col min="8202" max="8202" width="13" style="3" bestFit="1" customWidth="1"/>
    <col min="8203" max="8448" width="9" style="3"/>
    <col min="8449" max="8449" width="3.25" style="3" customWidth="1"/>
    <col min="8450" max="8450" width="9.25" style="3" bestFit="1" customWidth="1"/>
    <col min="8451" max="8452" width="7.375" style="3" bestFit="1" customWidth="1"/>
    <col min="8453" max="8453" width="14.25" style="3" bestFit="1" customWidth="1"/>
    <col min="8454" max="8454" width="9" style="3"/>
    <col min="8455" max="8455" width="9.25" style="3" bestFit="1" customWidth="1"/>
    <col min="8456" max="8457" width="7.375" style="3" bestFit="1" customWidth="1"/>
    <col min="8458" max="8458" width="13" style="3" bestFit="1" customWidth="1"/>
    <col min="8459" max="8704" width="9" style="3"/>
    <col min="8705" max="8705" width="3.25" style="3" customWidth="1"/>
    <col min="8706" max="8706" width="9.25" style="3" bestFit="1" customWidth="1"/>
    <col min="8707" max="8708" width="7.375" style="3" bestFit="1" customWidth="1"/>
    <col min="8709" max="8709" width="14.25" style="3" bestFit="1" customWidth="1"/>
    <col min="8710" max="8710" width="9" style="3"/>
    <col min="8711" max="8711" width="9.25" style="3" bestFit="1" customWidth="1"/>
    <col min="8712" max="8713" width="7.375" style="3" bestFit="1" customWidth="1"/>
    <col min="8714" max="8714" width="13" style="3" bestFit="1" customWidth="1"/>
    <col min="8715" max="8960" width="9" style="3"/>
    <col min="8961" max="8961" width="3.25" style="3" customWidth="1"/>
    <col min="8962" max="8962" width="9.25" style="3" bestFit="1" customWidth="1"/>
    <col min="8963" max="8964" width="7.375" style="3" bestFit="1" customWidth="1"/>
    <col min="8965" max="8965" width="14.25" style="3" bestFit="1" customWidth="1"/>
    <col min="8966" max="8966" width="9" style="3"/>
    <col min="8967" max="8967" width="9.25" style="3" bestFit="1" customWidth="1"/>
    <col min="8968" max="8969" width="7.375" style="3" bestFit="1" customWidth="1"/>
    <col min="8970" max="8970" width="13" style="3" bestFit="1" customWidth="1"/>
    <col min="8971" max="9216" width="9" style="3"/>
    <col min="9217" max="9217" width="3.25" style="3" customWidth="1"/>
    <col min="9218" max="9218" width="9.25" style="3" bestFit="1" customWidth="1"/>
    <col min="9219" max="9220" width="7.375" style="3" bestFit="1" customWidth="1"/>
    <col min="9221" max="9221" width="14.25" style="3" bestFit="1" customWidth="1"/>
    <col min="9222" max="9222" width="9" style="3"/>
    <col min="9223" max="9223" width="9.25" style="3" bestFit="1" customWidth="1"/>
    <col min="9224" max="9225" width="7.375" style="3" bestFit="1" customWidth="1"/>
    <col min="9226" max="9226" width="13" style="3" bestFit="1" customWidth="1"/>
    <col min="9227" max="9472" width="9" style="3"/>
    <col min="9473" max="9473" width="3.25" style="3" customWidth="1"/>
    <col min="9474" max="9474" width="9.25" style="3" bestFit="1" customWidth="1"/>
    <col min="9475" max="9476" width="7.375" style="3" bestFit="1" customWidth="1"/>
    <col min="9477" max="9477" width="14.25" style="3" bestFit="1" customWidth="1"/>
    <col min="9478" max="9478" width="9" style="3"/>
    <col min="9479" max="9479" width="9.25" style="3" bestFit="1" customWidth="1"/>
    <col min="9480" max="9481" width="7.375" style="3" bestFit="1" customWidth="1"/>
    <col min="9482" max="9482" width="13" style="3" bestFit="1" customWidth="1"/>
    <col min="9483" max="9728" width="9" style="3"/>
    <col min="9729" max="9729" width="3.25" style="3" customWidth="1"/>
    <col min="9730" max="9730" width="9.25" style="3" bestFit="1" customWidth="1"/>
    <col min="9731" max="9732" width="7.375" style="3" bestFit="1" customWidth="1"/>
    <col min="9733" max="9733" width="14.25" style="3" bestFit="1" customWidth="1"/>
    <col min="9734" max="9734" width="9" style="3"/>
    <col min="9735" max="9735" width="9.25" style="3" bestFit="1" customWidth="1"/>
    <col min="9736" max="9737" width="7.375" style="3" bestFit="1" customWidth="1"/>
    <col min="9738" max="9738" width="13" style="3" bestFit="1" customWidth="1"/>
    <col min="9739" max="9984" width="9" style="3"/>
    <col min="9985" max="9985" width="3.25" style="3" customWidth="1"/>
    <col min="9986" max="9986" width="9.25" style="3" bestFit="1" customWidth="1"/>
    <col min="9987" max="9988" width="7.375" style="3" bestFit="1" customWidth="1"/>
    <col min="9989" max="9989" width="14.25" style="3" bestFit="1" customWidth="1"/>
    <col min="9990" max="9990" width="9" style="3"/>
    <col min="9991" max="9991" width="9.25" style="3" bestFit="1" customWidth="1"/>
    <col min="9992" max="9993" width="7.375" style="3" bestFit="1" customWidth="1"/>
    <col min="9994" max="9994" width="13" style="3" bestFit="1" customWidth="1"/>
    <col min="9995" max="10240" width="9" style="3"/>
    <col min="10241" max="10241" width="3.25" style="3" customWidth="1"/>
    <col min="10242" max="10242" width="9.25" style="3" bestFit="1" customWidth="1"/>
    <col min="10243" max="10244" width="7.375" style="3" bestFit="1" customWidth="1"/>
    <col min="10245" max="10245" width="14.25" style="3" bestFit="1" customWidth="1"/>
    <col min="10246" max="10246" width="9" style="3"/>
    <col min="10247" max="10247" width="9.25" style="3" bestFit="1" customWidth="1"/>
    <col min="10248" max="10249" width="7.375" style="3" bestFit="1" customWidth="1"/>
    <col min="10250" max="10250" width="13" style="3" bestFit="1" customWidth="1"/>
    <col min="10251" max="10496" width="9" style="3"/>
    <col min="10497" max="10497" width="3.25" style="3" customWidth="1"/>
    <col min="10498" max="10498" width="9.25" style="3" bestFit="1" customWidth="1"/>
    <col min="10499" max="10500" width="7.375" style="3" bestFit="1" customWidth="1"/>
    <col min="10501" max="10501" width="14.25" style="3" bestFit="1" customWidth="1"/>
    <col min="10502" max="10502" width="9" style="3"/>
    <col min="10503" max="10503" width="9.25" style="3" bestFit="1" customWidth="1"/>
    <col min="10504" max="10505" width="7.375" style="3" bestFit="1" customWidth="1"/>
    <col min="10506" max="10506" width="13" style="3" bestFit="1" customWidth="1"/>
    <col min="10507" max="10752" width="9" style="3"/>
    <col min="10753" max="10753" width="3.25" style="3" customWidth="1"/>
    <col min="10754" max="10754" width="9.25" style="3" bestFit="1" customWidth="1"/>
    <col min="10755" max="10756" width="7.375" style="3" bestFit="1" customWidth="1"/>
    <col min="10757" max="10757" width="14.25" style="3" bestFit="1" customWidth="1"/>
    <col min="10758" max="10758" width="9" style="3"/>
    <col min="10759" max="10759" width="9.25" style="3" bestFit="1" customWidth="1"/>
    <col min="10760" max="10761" width="7.375" style="3" bestFit="1" customWidth="1"/>
    <col min="10762" max="10762" width="13" style="3" bestFit="1" customWidth="1"/>
    <col min="10763" max="11008" width="9" style="3"/>
    <col min="11009" max="11009" width="3.25" style="3" customWidth="1"/>
    <col min="11010" max="11010" width="9.25" style="3" bestFit="1" customWidth="1"/>
    <col min="11011" max="11012" width="7.375" style="3" bestFit="1" customWidth="1"/>
    <col min="11013" max="11013" width="14.25" style="3" bestFit="1" customWidth="1"/>
    <col min="11014" max="11014" width="9" style="3"/>
    <col min="11015" max="11015" width="9.25" style="3" bestFit="1" customWidth="1"/>
    <col min="11016" max="11017" width="7.375" style="3" bestFit="1" customWidth="1"/>
    <col min="11018" max="11018" width="13" style="3" bestFit="1" customWidth="1"/>
    <col min="11019" max="11264" width="9" style="3"/>
    <col min="11265" max="11265" width="3.25" style="3" customWidth="1"/>
    <col min="11266" max="11266" width="9.25" style="3" bestFit="1" customWidth="1"/>
    <col min="11267" max="11268" width="7.375" style="3" bestFit="1" customWidth="1"/>
    <col min="11269" max="11269" width="14.25" style="3" bestFit="1" customWidth="1"/>
    <col min="11270" max="11270" width="9" style="3"/>
    <col min="11271" max="11271" width="9.25" style="3" bestFit="1" customWidth="1"/>
    <col min="11272" max="11273" width="7.375" style="3" bestFit="1" customWidth="1"/>
    <col min="11274" max="11274" width="13" style="3" bestFit="1" customWidth="1"/>
    <col min="11275" max="11520" width="9" style="3"/>
    <col min="11521" max="11521" width="3.25" style="3" customWidth="1"/>
    <col min="11522" max="11522" width="9.25" style="3" bestFit="1" customWidth="1"/>
    <col min="11523" max="11524" width="7.375" style="3" bestFit="1" customWidth="1"/>
    <col min="11525" max="11525" width="14.25" style="3" bestFit="1" customWidth="1"/>
    <col min="11526" max="11526" width="9" style="3"/>
    <col min="11527" max="11527" width="9.25" style="3" bestFit="1" customWidth="1"/>
    <col min="11528" max="11529" width="7.375" style="3" bestFit="1" customWidth="1"/>
    <col min="11530" max="11530" width="13" style="3" bestFit="1" customWidth="1"/>
    <col min="11531" max="11776" width="9" style="3"/>
    <col min="11777" max="11777" width="3.25" style="3" customWidth="1"/>
    <col min="11778" max="11778" width="9.25" style="3" bestFit="1" customWidth="1"/>
    <col min="11779" max="11780" width="7.375" style="3" bestFit="1" customWidth="1"/>
    <col min="11781" max="11781" width="14.25" style="3" bestFit="1" customWidth="1"/>
    <col min="11782" max="11782" width="9" style="3"/>
    <col min="11783" max="11783" width="9.25" style="3" bestFit="1" customWidth="1"/>
    <col min="11784" max="11785" width="7.375" style="3" bestFit="1" customWidth="1"/>
    <col min="11786" max="11786" width="13" style="3" bestFit="1" customWidth="1"/>
    <col min="11787" max="12032" width="9" style="3"/>
    <col min="12033" max="12033" width="3.25" style="3" customWidth="1"/>
    <col min="12034" max="12034" width="9.25" style="3" bestFit="1" customWidth="1"/>
    <col min="12035" max="12036" width="7.375" style="3" bestFit="1" customWidth="1"/>
    <col min="12037" max="12037" width="14.25" style="3" bestFit="1" customWidth="1"/>
    <col min="12038" max="12038" width="9" style="3"/>
    <col min="12039" max="12039" width="9.25" style="3" bestFit="1" customWidth="1"/>
    <col min="12040" max="12041" width="7.375" style="3" bestFit="1" customWidth="1"/>
    <col min="12042" max="12042" width="13" style="3" bestFit="1" customWidth="1"/>
    <col min="12043" max="12288" width="9" style="3"/>
    <col min="12289" max="12289" width="3.25" style="3" customWidth="1"/>
    <col min="12290" max="12290" width="9.25" style="3" bestFit="1" customWidth="1"/>
    <col min="12291" max="12292" width="7.375" style="3" bestFit="1" customWidth="1"/>
    <col min="12293" max="12293" width="14.25" style="3" bestFit="1" customWidth="1"/>
    <col min="12294" max="12294" width="9" style="3"/>
    <col min="12295" max="12295" width="9.25" style="3" bestFit="1" customWidth="1"/>
    <col min="12296" max="12297" width="7.375" style="3" bestFit="1" customWidth="1"/>
    <col min="12298" max="12298" width="13" style="3" bestFit="1" customWidth="1"/>
    <col min="12299" max="12544" width="9" style="3"/>
    <col min="12545" max="12545" width="3.25" style="3" customWidth="1"/>
    <col min="12546" max="12546" width="9.25" style="3" bestFit="1" customWidth="1"/>
    <col min="12547" max="12548" width="7.375" style="3" bestFit="1" customWidth="1"/>
    <col min="12549" max="12549" width="14.25" style="3" bestFit="1" customWidth="1"/>
    <col min="12550" max="12550" width="9" style="3"/>
    <col min="12551" max="12551" width="9.25" style="3" bestFit="1" customWidth="1"/>
    <col min="12552" max="12553" width="7.375" style="3" bestFit="1" customWidth="1"/>
    <col min="12554" max="12554" width="13" style="3" bestFit="1" customWidth="1"/>
    <col min="12555" max="12800" width="9" style="3"/>
    <col min="12801" max="12801" width="3.25" style="3" customWidth="1"/>
    <col min="12802" max="12802" width="9.25" style="3" bestFit="1" customWidth="1"/>
    <col min="12803" max="12804" width="7.375" style="3" bestFit="1" customWidth="1"/>
    <col min="12805" max="12805" width="14.25" style="3" bestFit="1" customWidth="1"/>
    <col min="12806" max="12806" width="9" style="3"/>
    <col min="12807" max="12807" width="9.25" style="3" bestFit="1" customWidth="1"/>
    <col min="12808" max="12809" width="7.375" style="3" bestFit="1" customWidth="1"/>
    <col min="12810" max="12810" width="13" style="3" bestFit="1" customWidth="1"/>
    <col min="12811" max="13056" width="9" style="3"/>
    <col min="13057" max="13057" width="3.25" style="3" customWidth="1"/>
    <col min="13058" max="13058" width="9.25" style="3" bestFit="1" customWidth="1"/>
    <col min="13059" max="13060" width="7.375" style="3" bestFit="1" customWidth="1"/>
    <col min="13061" max="13061" width="14.25" style="3" bestFit="1" customWidth="1"/>
    <col min="13062" max="13062" width="9" style="3"/>
    <col min="13063" max="13063" width="9.25" style="3" bestFit="1" customWidth="1"/>
    <col min="13064" max="13065" width="7.375" style="3" bestFit="1" customWidth="1"/>
    <col min="13066" max="13066" width="13" style="3" bestFit="1" customWidth="1"/>
    <col min="13067" max="13312" width="9" style="3"/>
    <col min="13313" max="13313" width="3.25" style="3" customWidth="1"/>
    <col min="13314" max="13314" width="9.25" style="3" bestFit="1" customWidth="1"/>
    <col min="13315" max="13316" width="7.375" style="3" bestFit="1" customWidth="1"/>
    <col min="13317" max="13317" width="14.25" style="3" bestFit="1" customWidth="1"/>
    <col min="13318" max="13318" width="9" style="3"/>
    <col min="13319" max="13319" width="9.25" style="3" bestFit="1" customWidth="1"/>
    <col min="13320" max="13321" width="7.375" style="3" bestFit="1" customWidth="1"/>
    <col min="13322" max="13322" width="13" style="3" bestFit="1" customWidth="1"/>
    <col min="13323" max="13568" width="9" style="3"/>
    <col min="13569" max="13569" width="3.25" style="3" customWidth="1"/>
    <col min="13570" max="13570" width="9.25" style="3" bestFit="1" customWidth="1"/>
    <col min="13571" max="13572" width="7.375" style="3" bestFit="1" customWidth="1"/>
    <col min="13573" max="13573" width="14.25" style="3" bestFit="1" customWidth="1"/>
    <col min="13574" max="13574" width="9" style="3"/>
    <col min="13575" max="13575" width="9.25" style="3" bestFit="1" customWidth="1"/>
    <col min="13576" max="13577" width="7.375" style="3" bestFit="1" customWidth="1"/>
    <col min="13578" max="13578" width="13" style="3" bestFit="1" customWidth="1"/>
    <col min="13579" max="13824" width="9" style="3"/>
    <col min="13825" max="13825" width="3.25" style="3" customWidth="1"/>
    <col min="13826" max="13826" width="9.25" style="3" bestFit="1" customWidth="1"/>
    <col min="13827" max="13828" width="7.375" style="3" bestFit="1" customWidth="1"/>
    <col min="13829" max="13829" width="14.25" style="3" bestFit="1" customWidth="1"/>
    <col min="13830" max="13830" width="9" style="3"/>
    <col min="13831" max="13831" width="9.25" style="3" bestFit="1" customWidth="1"/>
    <col min="13832" max="13833" width="7.375" style="3" bestFit="1" customWidth="1"/>
    <col min="13834" max="13834" width="13" style="3" bestFit="1" customWidth="1"/>
    <col min="13835" max="14080" width="9" style="3"/>
    <col min="14081" max="14081" width="3.25" style="3" customWidth="1"/>
    <col min="14082" max="14082" width="9.25" style="3" bestFit="1" customWidth="1"/>
    <col min="14083" max="14084" width="7.375" style="3" bestFit="1" customWidth="1"/>
    <col min="14085" max="14085" width="14.25" style="3" bestFit="1" customWidth="1"/>
    <col min="14086" max="14086" width="9" style="3"/>
    <col min="14087" max="14087" width="9.25" style="3" bestFit="1" customWidth="1"/>
    <col min="14088" max="14089" width="7.375" style="3" bestFit="1" customWidth="1"/>
    <col min="14090" max="14090" width="13" style="3" bestFit="1" customWidth="1"/>
    <col min="14091" max="14336" width="9" style="3"/>
    <col min="14337" max="14337" width="3.25" style="3" customWidth="1"/>
    <col min="14338" max="14338" width="9.25" style="3" bestFit="1" customWidth="1"/>
    <col min="14339" max="14340" width="7.375" style="3" bestFit="1" customWidth="1"/>
    <col min="14341" max="14341" width="14.25" style="3" bestFit="1" customWidth="1"/>
    <col min="14342" max="14342" width="9" style="3"/>
    <col min="14343" max="14343" width="9.25" style="3" bestFit="1" customWidth="1"/>
    <col min="14344" max="14345" width="7.375" style="3" bestFit="1" customWidth="1"/>
    <col min="14346" max="14346" width="13" style="3" bestFit="1" customWidth="1"/>
    <col min="14347" max="14592" width="9" style="3"/>
    <col min="14593" max="14593" width="3.25" style="3" customWidth="1"/>
    <col min="14594" max="14594" width="9.25" style="3" bestFit="1" customWidth="1"/>
    <col min="14595" max="14596" width="7.375" style="3" bestFit="1" customWidth="1"/>
    <col min="14597" max="14597" width="14.25" style="3" bestFit="1" customWidth="1"/>
    <col min="14598" max="14598" width="9" style="3"/>
    <col min="14599" max="14599" width="9.25" style="3" bestFit="1" customWidth="1"/>
    <col min="14600" max="14601" width="7.375" style="3" bestFit="1" customWidth="1"/>
    <col min="14602" max="14602" width="13" style="3" bestFit="1" customWidth="1"/>
    <col min="14603" max="14848" width="9" style="3"/>
    <col min="14849" max="14849" width="3.25" style="3" customWidth="1"/>
    <col min="14850" max="14850" width="9.25" style="3" bestFit="1" customWidth="1"/>
    <col min="14851" max="14852" width="7.375" style="3" bestFit="1" customWidth="1"/>
    <col min="14853" max="14853" width="14.25" style="3" bestFit="1" customWidth="1"/>
    <col min="14854" max="14854" width="9" style="3"/>
    <col min="14855" max="14855" width="9.25" style="3" bestFit="1" customWidth="1"/>
    <col min="14856" max="14857" width="7.375" style="3" bestFit="1" customWidth="1"/>
    <col min="14858" max="14858" width="13" style="3" bestFit="1" customWidth="1"/>
    <col min="14859" max="15104" width="9" style="3"/>
    <col min="15105" max="15105" width="3.25" style="3" customWidth="1"/>
    <col min="15106" max="15106" width="9.25" style="3" bestFit="1" customWidth="1"/>
    <col min="15107" max="15108" width="7.375" style="3" bestFit="1" customWidth="1"/>
    <col min="15109" max="15109" width="14.25" style="3" bestFit="1" customWidth="1"/>
    <col min="15110" max="15110" width="9" style="3"/>
    <col min="15111" max="15111" width="9.25" style="3" bestFit="1" customWidth="1"/>
    <col min="15112" max="15113" width="7.375" style="3" bestFit="1" customWidth="1"/>
    <col min="15114" max="15114" width="13" style="3" bestFit="1" customWidth="1"/>
    <col min="15115" max="15360" width="9" style="3"/>
    <col min="15361" max="15361" width="3.25" style="3" customWidth="1"/>
    <col min="15362" max="15362" width="9.25" style="3" bestFit="1" customWidth="1"/>
    <col min="15363" max="15364" width="7.375" style="3" bestFit="1" customWidth="1"/>
    <col min="15365" max="15365" width="14.25" style="3" bestFit="1" customWidth="1"/>
    <col min="15366" max="15366" width="9" style="3"/>
    <col min="15367" max="15367" width="9.25" style="3" bestFit="1" customWidth="1"/>
    <col min="15368" max="15369" width="7.375" style="3" bestFit="1" customWidth="1"/>
    <col min="15370" max="15370" width="13" style="3" bestFit="1" customWidth="1"/>
    <col min="15371" max="15616" width="9" style="3"/>
    <col min="15617" max="15617" width="3.25" style="3" customWidth="1"/>
    <col min="15618" max="15618" width="9.25" style="3" bestFit="1" customWidth="1"/>
    <col min="15619" max="15620" width="7.375" style="3" bestFit="1" customWidth="1"/>
    <col min="15621" max="15621" width="14.25" style="3" bestFit="1" customWidth="1"/>
    <col min="15622" max="15622" width="9" style="3"/>
    <col min="15623" max="15623" width="9.25" style="3" bestFit="1" customWidth="1"/>
    <col min="15624" max="15625" width="7.375" style="3" bestFit="1" customWidth="1"/>
    <col min="15626" max="15626" width="13" style="3" bestFit="1" customWidth="1"/>
    <col min="15627" max="15872" width="9" style="3"/>
    <col min="15873" max="15873" width="3.25" style="3" customWidth="1"/>
    <col min="15874" max="15874" width="9.25" style="3" bestFit="1" customWidth="1"/>
    <col min="15875" max="15876" width="7.375" style="3" bestFit="1" customWidth="1"/>
    <col min="15877" max="15877" width="14.25" style="3" bestFit="1" customWidth="1"/>
    <col min="15878" max="15878" width="9" style="3"/>
    <col min="15879" max="15879" width="9.25" style="3" bestFit="1" customWidth="1"/>
    <col min="15880" max="15881" width="7.375" style="3" bestFit="1" customWidth="1"/>
    <col min="15882" max="15882" width="13" style="3" bestFit="1" customWidth="1"/>
    <col min="15883" max="16128" width="9" style="3"/>
    <col min="16129" max="16129" width="3.25" style="3" customWidth="1"/>
    <col min="16130" max="16130" width="9.25" style="3" bestFit="1" customWidth="1"/>
    <col min="16131" max="16132" width="7.375" style="3" bestFit="1" customWidth="1"/>
    <col min="16133" max="16133" width="14.25" style="3" bestFit="1" customWidth="1"/>
    <col min="16134" max="16134" width="9" style="3"/>
    <col min="16135" max="16135" width="9.25" style="3" bestFit="1" customWidth="1"/>
    <col min="16136" max="16137" width="7.375" style="3" bestFit="1" customWidth="1"/>
    <col min="16138" max="16138" width="13" style="3" bestFit="1" customWidth="1"/>
    <col min="16139" max="16384" width="9" style="3"/>
  </cols>
  <sheetData>
    <row r="1" spans="2:11">
      <c r="K1" s="1"/>
    </row>
    <row r="2" spans="2:11">
      <c r="B2" s="137" t="s">
        <v>212</v>
      </c>
      <c r="C2" s="137"/>
      <c r="D2" s="137"/>
      <c r="E2" s="137"/>
      <c r="G2" s="137" t="s">
        <v>213</v>
      </c>
      <c r="H2" s="137"/>
      <c r="I2" s="137"/>
      <c r="J2" s="137"/>
      <c r="K2" s="1"/>
    </row>
    <row r="3" spans="2:11">
      <c r="B3" s="5" t="s">
        <v>214</v>
      </c>
      <c r="C3" s="5" t="s">
        <v>215</v>
      </c>
      <c r="D3" s="5" t="s">
        <v>216</v>
      </c>
      <c r="E3" s="5" t="s">
        <v>217</v>
      </c>
      <c r="G3" s="5" t="s">
        <v>214</v>
      </c>
      <c r="H3" s="5" t="s">
        <v>215</v>
      </c>
      <c r="I3" s="5" t="s">
        <v>217</v>
      </c>
      <c r="J3" s="5" t="s">
        <v>216</v>
      </c>
      <c r="K3" s="1"/>
    </row>
    <row r="4" spans="2:11">
      <c r="B4" s="113" t="s">
        <v>218</v>
      </c>
      <c r="C4" s="114">
        <v>12</v>
      </c>
      <c r="D4" s="114">
        <v>13</v>
      </c>
      <c r="E4" s="114">
        <v>1800000</v>
      </c>
      <c r="G4" s="113" t="s">
        <v>218</v>
      </c>
      <c r="H4" s="114">
        <v>18</v>
      </c>
      <c r="I4" s="114">
        <v>1200000</v>
      </c>
      <c r="J4" s="114">
        <v>10</v>
      </c>
      <c r="K4" s="1"/>
    </row>
    <row r="5" spans="2:11">
      <c r="B5" s="113" t="s">
        <v>219</v>
      </c>
      <c r="C5" s="114">
        <v>5</v>
      </c>
      <c r="D5" s="114">
        <v>5</v>
      </c>
      <c r="E5" s="114">
        <v>7500000</v>
      </c>
      <c r="G5" s="113" t="s">
        <v>219</v>
      </c>
      <c r="H5" s="114">
        <v>9</v>
      </c>
      <c r="I5" s="114">
        <v>6000000</v>
      </c>
      <c r="J5" s="114">
        <v>4</v>
      </c>
      <c r="K5" s="1"/>
    </row>
    <row r="6" spans="2:11">
      <c r="B6" s="113" t="s">
        <v>220</v>
      </c>
      <c r="C6" s="114">
        <v>11</v>
      </c>
      <c r="D6" s="114">
        <v>8</v>
      </c>
      <c r="E6" s="114">
        <v>6400000</v>
      </c>
      <c r="G6" s="113" t="s">
        <v>220</v>
      </c>
      <c r="H6" s="114">
        <v>23</v>
      </c>
      <c r="I6" s="114">
        <v>6400000</v>
      </c>
      <c r="J6" s="114">
        <v>8</v>
      </c>
      <c r="K6" s="1"/>
    </row>
    <row r="7" spans="2:11">
      <c r="B7" s="113" t="s">
        <v>221</v>
      </c>
      <c r="C7" s="114">
        <v>14</v>
      </c>
      <c r="D7" s="114">
        <v>14</v>
      </c>
      <c r="E7" s="114">
        <v>4900000</v>
      </c>
      <c r="G7" s="113" t="s">
        <v>221</v>
      </c>
      <c r="H7" s="114">
        <v>19</v>
      </c>
      <c r="I7" s="114">
        <v>5250000</v>
      </c>
      <c r="J7" s="114">
        <v>15</v>
      </c>
      <c r="K7" s="1"/>
    </row>
    <row r="8" spans="2:11">
      <c r="B8" s="113" t="s">
        <v>218</v>
      </c>
      <c r="C8" s="114">
        <v>18</v>
      </c>
      <c r="D8" s="114">
        <v>18</v>
      </c>
      <c r="E8" s="114">
        <v>2400000</v>
      </c>
      <c r="G8" s="113" t="s">
        <v>219</v>
      </c>
      <c r="H8" s="114">
        <v>13</v>
      </c>
      <c r="I8" s="114">
        <v>9000000</v>
      </c>
      <c r="J8" s="114">
        <v>6</v>
      </c>
      <c r="K8" s="1"/>
    </row>
    <row r="9" spans="2:11">
      <c r="B9" s="113" t="s">
        <v>218</v>
      </c>
      <c r="C9" s="114">
        <v>24</v>
      </c>
      <c r="D9" s="114">
        <v>23</v>
      </c>
      <c r="E9" s="114">
        <v>2760000</v>
      </c>
      <c r="G9" s="113" t="s">
        <v>218</v>
      </c>
      <c r="H9" s="114">
        <v>8</v>
      </c>
      <c r="I9" s="114">
        <v>720000</v>
      </c>
      <c r="J9" s="114">
        <v>6</v>
      </c>
      <c r="K9" s="1"/>
    </row>
    <row r="10" spans="2:11">
      <c r="B10" s="113" t="s">
        <v>221</v>
      </c>
      <c r="C10" s="114">
        <v>12</v>
      </c>
      <c r="D10" s="114">
        <v>10</v>
      </c>
      <c r="E10" s="114">
        <v>3500000</v>
      </c>
      <c r="G10" s="113" t="s">
        <v>222</v>
      </c>
      <c r="H10" s="114">
        <v>14</v>
      </c>
      <c r="I10" s="114">
        <v>4800000</v>
      </c>
      <c r="J10" s="114">
        <v>4</v>
      </c>
      <c r="K10" s="1"/>
    </row>
    <row r="11" spans="2:11">
      <c r="B11" s="113" t="s">
        <v>220</v>
      </c>
      <c r="C11" s="114">
        <v>19</v>
      </c>
      <c r="D11" s="114">
        <v>4</v>
      </c>
      <c r="E11" s="114">
        <v>3200000</v>
      </c>
      <c r="G11" s="113" t="s">
        <v>218</v>
      </c>
      <c r="H11" s="114">
        <v>10</v>
      </c>
      <c r="I11" s="114">
        <v>720000</v>
      </c>
      <c r="J11" s="114">
        <v>8</v>
      </c>
      <c r="K11" s="1"/>
    </row>
    <row r="12" spans="2:11">
      <c r="B12" s="113" t="s">
        <v>219</v>
      </c>
      <c r="C12" s="114">
        <v>20</v>
      </c>
      <c r="D12" s="114">
        <v>6</v>
      </c>
      <c r="E12" s="114">
        <v>9000000</v>
      </c>
      <c r="G12" s="113" t="s">
        <v>221</v>
      </c>
      <c r="H12" s="114">
        <v>12</v>
      </c>
      <c r="I12" s="114">
        <v>4200000</v>
      </c>
      <c r="J12" s="114">
        <v>12</v>
      </c>
      <c r="K12" s="1"/>
    </row>
    <row r="13" spans="2:11">
      <c r="B13" s="113" t="s">
        <v>220</v>
      </c>
      <c r="C13" s="114">
        <v>21</v>
      </c>
      <c r="D13" s="114">
        <v>3</v>
      </c>
      <c r="E13" s="114">
        <v>2400000</v>
      </c>
      <c r="G13" s="113" t="s">
        <v>220</v>
      </c>
      <c r="H13" s="114">
        <v>19</v>
      </c>
      <c r="I13" s="114">
        <v>6400000</v>
      </c>
      <c r="J13" s="114">
        <v>8</v>
      </c>
      <c r="K13" s="1"/>
    </row>
    <row r="14" spans="2:11">
      <c r="B14" s="113" t="s">
        <v>223</v>
      </c>
      <c r="C14" s="114">
        <v>21</v>
      </c>
      <c r="D14" s="114">
        <v>11</v>
      </c>
      <c r="E14" s="114">
        <v>10800000</v>
      </c>
      <c r="G14" s="113" t="s">
        <v>219</v>
      </c>
      <c r="H14" s="114">
        <v>24</v>
      </c>
      <c r="I14" s="114">
        <v>9000000</v>
      </c>
      <c r="J14" s="114">
        <v>6</v>
      </c>
      <c r="K14" s="1"/>
    </row>
    <row r="15" spans="2:11">
      <c r="G15" s="113" t="s">
        <v>220</v>
      </c>
      <c r="H15" s="114">
        <v>21</v>
      </c>
      <c r="I15" s="114">
        <v>8800000</v>
      </c>
      <c r="J15" s="114">
        <v>11</v>
      </c>
      <c r="K15" s="1"/>
    </row>
    <row r="16" spans="2:11">
      <c r="G16" s="113" t="s">
        <v>224</v>
      </c>
      <c r="H16" s="114">
        <v>24</v>
      </c>
      <c r="I16" s="114">
        <v>5200000</v>
      </c>
      <c r="J16" s="114">
        <v>6</v>
      </c>
      <c r="K16" s="1"/>
    </row>
    <row r="17" spans="1:11">
      <c r="B17" s="138" t="s">
        <v>225</v>
      </c>
      <c r="C17" s="138"/>
      <c r="D17" s="138"/>
      <c r="E17" s="138"/>
      <c r="F17" s="1"/>
      <c r="K17" s="1"/>
    </row>
    <row r="18" spans="1:11">
      <c r="B18" s="5" t="s">
        <v>214</v>
      </c>
      <c r="C18" s="5" t="s">
        <v>226</v>
      </c>
      <c r="D18" s="5" t="s">
        <v>227</v>
      </c>
      <c r="E18" s="5" t="s">
        <v>228</v>
      </c>
      <c r="F18" s="1"/>
      <c r="I18" s="1"/>
      <c r="J18" s="1"/>
      <c r="K18" s="1"/>
    </row>
    <row r="19" spans="1:11">
      <c r="B19" s="5" t="s">
        <v>230</v>
      </c>
      <c r="C19" s="115">
        <v>14</v>
      </c>
      <c r="D19" s="115">
        <v>4</v>
      </c>
      <c r="E19" s="115">
        <v>4800000</v>
      </c>
      <c r="F19" s="1"/>
      <c r="I19" s="1"/>
      <c r="J19" s="1"/>
      <c r="K19" s="1"/>
    </row>
    <row r="20" spans="1:11">
      <c r="B20" s="5" t="s">
        <v>218</v>
      </c>
      <c r="C20" s="115">
        <v>15</v>
      </c>
      <c r="D20" s="115">
        <v>13</v>
      </c>
      <c r="E20" s="115">
        <v>1600000</v>
      </c>
      <c r="F20" s="1"/>
      <c r="H20" s="1"/>
      <c r="I20" s="1"/>
      <c r="J20" s="1"/>
      <c r="K20" s="1"/>
    </row>
    <row r="21" spans="1:11">
      <c r="B21" s="5" t="s">
        <v>219</v>
      </c>
      <c r="C21" s="115">
        <v>14.2</v>
      </c>
      <c r="D21" s="115">
        <v>5.4</v>
      </c>
      <c r="E21" s="115">
        <v>8100000</v>
      </c>
      <c r="F21" s="1"/>
      <c r="H21" s="1"/>
      <c r="I21" s="1"/>
      <c r="J21" s="1"/>
      <c r="K21" s="1"/>
    </row>
    <row r="22" spans="1:11">
      <c r="B22" s="5" t="s">
        <v>220</v>
      </c>
      <c r="C22" s="115">
        <v>19</v>
      </c>
      <c r="D22" s="115">
        <v>7</v>
      </c>
      <c r="E22" s="115">
        <v>5600000</v>
      </c>
      <c r="F22" s="1"/>
      <c r="H22" s="1"/>
      <c r="I22" s="1"/>
      <c r="J22" s="1"/>
      <c r="K22" s="1"/>
    </row>
    <row r="23" spans="1:11">
      <c r="A23" s="1"/>
      <c r="B23" s="116" t="s">
        <v>221</v>
      </c>
      <c r="C23" s="117">
        <v>14.25</v>
      </c>
      <c r="D23" s="117">
        <v>12.75</v>
      </c>
      <c r="E23" s="117">
        <v>4462500</v>
      </c>
      <c r="F23" s="1"/>
      <c r="G23" s="1"/>
      <c r="H23" s="118"/>
      <c r="I23" s="118"/>
      <c r="J23" s="118"/>
      <c r="K23" s="1"/>
    </row>
    <row r="24" spans="1:11">
      <c r="B24" s="119" t="s">
        <v>231</v>
      </c>
      <c r="C24" s="120">
        <v>21</v>
      </c>
      <c r="D24" s="120">
        <v>11</v>
      </c>
      <c r="E24" s="120">
        <v>10800000</v>
      </c>
      <c r="H24" s="87"/>
      <c r="I24" s="87"/>
      <c r="J24" s="87"/>
    </row>
    <row r="25" spans="1:11">
      <c r="B25" s="119" t="s">
        <v>232</v>
      </c>
      <c r="C25" s="120">
        <v>24</v>
      </c>
      <c r="D25" s="120">
        <v>6</v>
      </c>
      <c r="E25" s="120">
        <v>5200000</v>
      </c>
      <c r="H25" s="87"/>
      <c r="I25" s="87"/>
      <c r="J25" s="87"/>
    </row>
    <row r="26" spans="1:11">
      <c r="H26" s="87"/>
      <c r="I26" s="87"/>
      <c r="J26" s="87"/>
    </row>
    <row r="27" spans="1:11">
      <c r="H27" s="87"/>
      <c r="I27" s="87"/>
      <c r="J27" s="87"/>
    </row>
    <row r="35" spans="2:8">
      <c r="B35" s="4" t="s">
        <v>229</v>
      </c>
      <c r="C35" s="4"/>
      <c r="D35" s="4"/>
      <c r="E35" s="4"/>
      <c r="F35" s="4"/>
      <c r="G35" s="4"/>
      <c r="H35" s="4"/>
    </row>
    <row r="36" spans="2:8">
      <c r="B36" s="121">
        <v>1</v>
      </c>
      <c r="C36" s="20" t="s">
        <v>21</v>
      </c>
      <c r="D36" s="20" t="s">
        <v>22</v>
      </c>
      <c r="E36" s="20">
        <v>1</v>
      </c>
      <c r="F36" s="20" t="s">
        <v>23</v>
      </c>
      <c r="G36" s="20">
        <v>100</v>
      </c>
      <c r="H36" s="23">
        <v>90000</v>
      </c>
    </row>
    <row r="37" spans="2:8">
      <c r="B37" s="121">
        <v>3</v>
      </c>
      <c r="C37" s="20" t="s">
        <v>12</v>
      </c>
      <c r="D37" s="20" t="s">
        <v>13</v>
      </c>
      <c r="E37" s="20">
        <v>3</v>
      </c>
      <c r="F37" s="20" t="s">
        <v>10</v>
      </c>
      <c r="G37" s="20">
        <v>90</v>
      </c>
      <c r="H37" s="23">
        <v>120000</v>
      </c>
    </row>
    <row r="38" spans="2:8">
      <c r="B38" s="121">
        <v>4</v>
      </c>
      <c r="C38" s="20" t="s">
        <v>8</v>
      </c>
      <c r="D38" s="20" t="s">
        <v>9</v>
      </c>
      <c r="E38" s="20">
        <v>2</v>
      </c>
      <c r="F38" s="20" t="s">
        <v>10</v>
      </c>
      <c r="G38" s="20">
        <v>56</v>
      </c>
      <c r="H38" s="23">
        <v>110000</v>
      </c>
    </row>
    <row r="39" spans="2:8">
      <c r="B39" s="121">
        <v>5</v>
      </c>
      <c r="C39" s="20" t="s">
        <v>32</v>
      </c>
      <c r="D39" s="20" t="s">
        <v>9</v>
      </c>
      <c r="E39" s="20">
        <v>3</v>
      </c>
      <c r="F39" s="20" t="s">
        <v>23</v>
      </c>
      <c r="G39" s="20">
        <v>64</v>
      </c>
      <c r="H39" s="23">
        <v>110000</v>
      </c>
    </row>
    <row r="40" spans="2:8">
      <c r="B40" s="121">
        <v>6</v>
      </c>
      <c r="C40" s="20" t="s">
        <v>12</v>
      </c>
      <c r="D40" s="20" t="s">
        <v>15</v>
      </c>
      <c r="E40" s="20">
        <v>3</v>
      </c>
      <c r="F40" s="20" t="s">
        <v>10</v>
      </c>
      <c r="G40" s="20">
        <v>75</v>
      </c>
      <c r="H40" s="23">
        <v>120000</v>
      </c>
    </row>
    <row r="41" spans="2:8">
      <c r="B41" s="121">
        <v>7</v>
      </c>
      <c r="C41" s="20" t="s">
        <v>21</v>
      </c>
      <c r="D41" s="20" t="s">
        <v>25</v>
      </c>
      <c r="E41" s="20">
        <v>1</v>
      </c>
      <c r="F41" s="20" t="s">
        <v>23</v>
      </c>
      <c r="G41" s="20">
        <v>96</v>
      </c>
      <c r="H41" s="23">
        <v>90000</v>
      </c>
    </row>
    <row r="42" spans="2:8">
      <c r="B42" s="121">
        <v>8</v>
      </c>
      <c r="C42" s="20" t="s">
        <v>12</v>
      </c>
      <c r="D42" s="20" t="s">
        <v>16</v>
      </c>
      <c r="E42" s="20">
        <v>3</v>
      </c>
      <c r="F42" s="20" t="s">
        <v>10</v>
      </c>
      <c r="G42" s="20">
        <v>45</v>
      </c>
      <c r="H42" s="23">
        <v>120000</v>
      </c>
    </row>
    <row r="43" spans="2:8">
      <c r="B43" s="121">
        <v>9</v>
      </c>
      <c r="C43" s="20" t="s">
        <v>28</v>
      </c>
      <c r="D43" s="20" t="s">
        <v>29</v>
      </c>
      <c r="E43" s="20">
        <v>2</v>
      </c>
      <c r="F43" s="20" t="s">
        <v>23</v>
      </c>
      <c r="G43" s="20">
        <v>76</v>
      </c>
      <c r="H43" s="23">
        <v>100000</v>
      </c>
    </row>
    <row r="44" spans="2:8">
      <c r="B44" s="121">
        <v>10</v>
      </c>
      <c r="C44" s="20" t="s">
        <v>36</v>
      </c>
      <c r="D44" s="20" t="s">
        <v>55</v>
      </c>
      <c r="E44" s="20">
        <v>3</v>
      </c>
      <c r="F44" s="20" t="s">
        <v>38</v>
      </c>
      <c r="G44" s="20">
        <v>99</v>
      </c>
      <c r="H44" s="23">
        <v>110000</v>
      </c>
    </row>
    <row r="45" spans="2:8">
      <c r="B45" s="121">
        <v>12</v>
      </c>
      <c r="C45" s="20" t="s">
        <v>57</v>
      </c>
      <c r="D45" s="20" t="s">
        <v>58</v>
      </c>
      <c r="E45" s="20">
        <v>1</v>
      </c>
      <c r="F45" s="20" t="s">
        <v>38</v>
      </c>
      <c r="G45" s="20">
        <v>80</v>
      </c>
      <c r="H45" s="23">
        <v>90000</v>
      </c>
    </row>
    <row r="46" spans="2:8">
      <c r="B46" s="121">
        <v>13</v>
      </c>
      <c r="C46" s="20" t="s">
        <v>8</v>
      </c>
      <c r="D46" s="20" t="s">
        <v>60</v>
      </c>
      <c r="E46" s="20">
        <v>2</v>
      </c>
      <c r="F46" s="20" t="s">
        <v>10</v>
      </c>
      <c r="G46" s="20">
        <v>70</v>
      </c>
      <c r="H46" s="23">
        <v>110000</v>
      </c>
    </row>
    <row r="47" spans="2:8">
      <c r="B47" s="121">
        <v>14</v>
      </c>
      <c r="C47" s="20" t="s">
        <v>57</v>
      </c>
      <c r="D47" s="20" t="s">
        <v>61</v>
      </c>
      <c r="E47" s="20">
        <v>1</v>
      </c>
      <c r="F47" s="20" t="s">
        <v>38</v>
      </c>
      <c r="G47" s="20">
        <v>60</v>
      </c>
      <c r="H47" s="23">
        <v>90000</v>
      </c>
    </row>
    <row r="48" spans="2:8">
      <c r="B48" s="121">
        <v>15</v>
      </c>
      <c r="C48" s="20" t="s">
        <v>57</v>
      </c>
      <c r="D48" s="20" t="s">
        <v>62</v>
      </c>
      <c r="E48" s="20">
        <v>1</v>
      </c>
      <c r="F48" s="20" t="s">
        <v>38</v>
      </c>
      <c r="G48" s="20">
        <v>50</v>
      </c>
      <c r="H48" s="23">
        <v>90000</v>
      </c>
    </row>
    <row r="49" spans="2:8">
      <c r="B49" s="121">
        <v>16</v>
      </c>
      <c r="C49" s="20" t="s">
        <v>36</v>
      </c>
      <c r="D49" s="20" t="s">
        <v>63</v>
      </c>
      <c r="E49" s="20">
        <v>3</v>
      </c>
      <c r="F49" s="20" t="s">
        <v>38</v>
      </c>
      <c r="G49" s="20">
        <v>89</v>
      </c>
      <c r="H49" s="23">
        <v>110000</v>
      </c>
    </row>
    <row r="50" spans="2:8">
      <c r="B50" s="121">
        <v>17</v>
      </c>
      <c r="C50" s="20" t="s">
        <v>17</v>
      </c>
      <c r="D50" s="20" t="s">
        <v>0</v>
      </c>
      <c r="E50" s="20">
        <v>1</v>
      </c>
      <c r="F50" s="20" t="s">
        <v>18</v>
      </c>
      <c r="G50" s="20">
        <v>92</v>
      </c>
      <c r="H50" s="23">
        <v>100000</v>
      </c>
    </row>
    <row r="51" spans="2:8">
      <c r="B51" s="121">
        <v>18</v>
      </c>
      <c r="C51" s="20" t="s">
        <v>28</v>
      </c>
      <c r="D51" s="20" t="s">
        <v>31</v>
      </c>
      <c r="E51" s="20">
        <v>2</v>
      </c>
      <c r="F51" s="20" t="s">
        <v>23</v>
      </c>
      <c r="G51" s="20">
        <v>95</v>
      </c>
      <c r="H51" s="23">
        <v>100000</v>
      </c>
    </row>
    <row r="52" spans="2:8">
      <c r="B52" s="121">
        <v>19</v>
      </c>
      <c r="C52" s="20" t="s">
        <v>21</v>
      </c>
      <c r="D52" s="20" t="s">
        <v>26</v>
      </c>
      <c r="E52" s="20">
        <v>1</v>
      </c>
      <c r="F52" s="20" t="s">
        <v>23</v>
      </c>
      <c r="G52" s="20">
        <v>49</v>
      </c>
      <c r="H52" s="23">
        <v>90000</v>
      </c>
    </row>
    <row r="53" spans="2:8">
      <c r="B53" s="121">
        <v>20</v>
      </c>
      <c r="C53" s="20" t="s">
        <v>36</v>
      </c>
      <c r="D53" s="20" t="s">
        <v>37</v>
      </c>
      <c r="E53" s="20">
        <v>3</v>
      </c>
      <c r="F53" s="20" t="s">
        <v>38</v>
      </c>
      <c r="G53" s="20">
        <v>70</v>
      </c>
      <c r="H53" s="23">
        <v>110000</v>
      </c>
    </row>
    <row r="54" spans="2:8">
      <c r="B54"/>
      <c r="C54"/>
      <c r="D54"/>
      <c r="E54"/>
      <c r="F54"/>
      <c r="G54"/>
      <c r="H54"/>
    </row>
    <row r="55" spans="2:8">
      <c r="B55"/>
      <c r="C55"/>
      <c r="D55"/>
      <c r="E55"/>
      <c r="F55"/>
      <c r="G55"/>
      <c r="H55"/>
    </row>
  </sheetData>
  <dataConsolidate function="average" topLabels="1">
    <dataRefs count="2">
      <dataRef ref="B3:E14" sheet="분석작업-2"/>
      <dataRef ref="G3:J16" sheet="분석작업-2"/>
    </dataRefs>
  </dataConsolidate>
  <mergeCells count="3">
    <mergeCell ref="B2:E2"/>
    <mergeCell ref="G2:J2"/>
    <mergeCell ref="B17:E1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0"/>
  <sheetViews>
    <sheetView workbookViewId="0">
      <selection activeCell="D15" sqref="D15"/>
    </sheetView>
  </sheetViews>
  <sheetFormatPr defaultRowHeight="16.5"/>
  <sheetData>
    <row r="1" spans="1:6">
      <c r="A1" s="96"/>
      <c r="B1" s="96"/>
      <c r="C1" s="96"/>
      <c r="D1" s="96"/>
      <c r="E1" s="96"/>
      <c r="F1" s="96"/>
    </row>
    <row r="2" spans="1:6">
      <c r="A2" s="1"/>
      <c r="B2" s="3" t="s">
        <v>202</v>
      </c>
      <c r="C2" s="3"/>
      <c r="D2" s="3"/>
      <c r="E2" s="3"/>
      <c r="F2" s="1"/>
    </row>
    <row r="3" spans="1:6">
      <c r="A3" s="1" t="s">
        <v>203</v>
      </c>
      <c r="B3" s="98" t="s">
        <v>204</v>
      </c>
      <c r="C3" s="99" t="s">
        <v>205</v>
      </c>
      <c r="D3" s="99" t="s">
        <v>206</v>
      </c>
      <c r="E3" s="99" t="s">
        <v>207</v>
      </c>
      <c r="F3" s="1"/>
    </row>
    <row r="4" spans="1:6">
      <c r="A4" s="1"/>
      <c r="B4" s="100" t="s">
        <v>208</v>
      </c>
      <c r="C4" s="97">
        <v>270000</v>
      </c>
      <c r="D4" s="97">
        <v>200000</v>
      </c>
      <c r="E4" s="97">
        <v>220000</v>
      </c>
      <c r="F4" s="1"/>
    </row>
    <row r="5" spans="1:6">
      <c r="A5" s="1"/>
      <c r="B5" s="100" t="s">
        <v>209</v>
      </c>
      <c r="C5" s="97">
        <v>360000</v>
      </c>
      <c r="D5" s="97">
        <v>100000</v>
      </c>
      <c r="E5" s="97">
        <v>440000</v>
      </c>
      <c r="F5" s="1"/>
    </row>
    <row r="6" spans="1:6">
      <c r="A6" s="1"/>
      <c r="B6" s="100" t="s">
        <v>210</v>
      </c>
      <c r="C6" s="97">
        <v>200000</v>
      </c>
      <c r="D6" s="101">
        <v>0</v>
      </c>
      <c r="E6" s="97">
        <v>120000</v>
      </c>
      <c r="F6" s="1"/>
    </row>
    <row r="7" spans="1:6">
      <c r="A7" s="1"/>
      <c r="B7" s="100" t="s">
        <v>211</v>
      </c>
      <c r="C7" s="97">
        <v>300000</v>
      </c>
      <c r="D7" s="97">
        <v>440000</v>
      </c>
      <c r="E7" s="97">
        <v>480000</v>
      </c>
      <c r="F7" s="1"/>
    </row>
    <row r="8" spans="1:6">
      <c r="A8" s="1"/>
      <c r="B8" s="1"/>
      <c r="C8" s="1"/>
      <c r="D8" s="1"/>
      <c r="E8" s="1"/>
      <c r="F8" s="1"/>
    </row>
    <row r="9" spans="1:6">
      <c r="A9" s="1"/>
      <c r="B9" s="1"/>
      <c r="C9" s="1"/>
      <c r="D9" s="1"/>
      <c r="E9" s="1"/>
      <c r="F9" s="1"/>
    </row>
    <row r="10" spans="1:6">
      <c r="A10" s="96"/>
      <c r="B10" s="96"/>
      <c r="C10" s="96"/>
      <c r="D10" s="96"/>
      <c r="E10" s="96"/>
      <c r="F10" s="96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S35"/>
  <sheetViews>
    <sheetView topLeftCell="A23" workbookViewId="0">
      <selection activeCell="H51" sqref="H51"/>
    </sheetView>
  </sheetViews>
  <sheetFormatPr defaultRowHeight="16.5"/>
  <cols>
    <col min="1" max="1" width="14" style="3" bestFit="1" customWidth="1"/>
    <col min="2" max="2" width="16.125" style="3" bestFit="1" customWidth="1"/>
    <col min="3" max="3" width="11.125" style="3" bestFit="1" customWidth="1"/>
    <col min="4" max="4" width="10.75" style="48" bestFit="1" customWidth="1"/>
    <col min="5" max="5" width="14" style="3" bestFit="1" customWidth="1"/>
    <col min="6" max="6" width="13.125" style="3" customWidth="1"/>
    <col min="7" max="7" width="9" style="3"/>
    <col min="8" max="8" width="10.875" style="3" bestFit="1" customWidth="1"/>
    <col min="9" max="16384" width="9" style="3"/>
  </cols>
  <sheetData>
    <row r="3" spans="1:19">
      <c r="E3" s="49"/>
      <c r="F3" s="49"/>
    </row>
    <row r="4" spans="1:19">
      <c r="D4" s="50"/>
      <c r="E4" s="26"/>
      <c r="F4" s="51"/>
    </row>
    <row r="5" spans="1:19">
      <c r="D5" s="52"/>
      <c r="E5" s="26"/>
      <c r="F5" s="53"/>
    </row>
    <row r="6" spans="1:19">
      <c r="E6" s="26"/>
    </row>
    <row r="7" spans="1:19">
      <c r="C7" s="54"/>
      <c r="D7" s="55"/>
      <c r="E7" s="56" t="s">
        <v>147</v>
      </c>
      <c r="F7" s="57"/>
      <c r="G7" s="3" t="s">
        <v>234</v>
      </c>
    </row>
    <row r="8" spans="1:19">
      <c r="A8" s="58" t="s">
        <v>148</v>
      </c>
      <c r="B8" s="59">
        <v>30000000</v>
      </c>
      <c r="C8" s="60"/>
      <c r="D8" s="61" t="s">
        <v>149</v>
      </c>
      <c r="E8" s="122">
        <f>B9</f>
        <v>833333.33333333337</v>
      </c>
      <c r="F8" s="60"/>
      <c r="G8" s="55"/>
      <c r="H8" s="61" t="s">
        <v>149</v>
      </c>
      <c r="I8" s="63">
        <v>0.03</v>
      </c>
      <c r="J8" s="63">
        <v>3.5000000000000003E-2</v>
      </c>
      <c r="K8" s="63">
        <v>0.04</v>
      </c>
      <c r="L8" s="63">
        <v>4.4999999999999998E-2</v>
      </c>
      <c r="M8" s="63">
        <v>0.05</v>
      </c>
      <c r="N8" s="63">
        <v>5.5E-2</v>
      </c>
      <c r="O8" s="63">
        <v>0.06</v>
      </c>
      <c r="P8" s="63">
        <v>6.5000000000000002E-2</v>
      </c>
      <c r="Q8" s="63">
        <v>7.0000000000000007E-2</v>
      </c>
      <c r="R8" s="63">
        <v>7.4999999999999997E-2</v>
      </c>
      <c r="S8" s="63">
        <v>0.08</v>
      </c>
    </row>
    <row r="9" spans="1:19">
      <c r="A9" s="58" t="s">
        <v>146</v>
      </c>
      <c r="B9" s="59">
        <f>PMT($B$11/12,$B$12*12,0,-$B$8)</f>
        <v>833333.33333333337</v>
      </c>
      <c r="C9" s="62"/>
      <c r="D9" s="63">
        <v>0.03</v>
      </c>
      <c r="E9" s="64">
        <f t="dataTable" ref="E9:E19" dt2D="0" dtr="0" r1="B11"/>
        <v>797436.28891956992</v>
      </c>
      <c r="F9" s="65"/>
      <c r="G9" s="56" t="s">
        <v>147</v>
      </c>
      <c r="H9" s="122">
        <f>B9</f>
        <v>833333.33333333337</v>
      </c>
      <c r="I9" s="64">
        <v>797436.28891956992</v>
      </c>
      <c r="J9" s="64">
        <v>791562.39180732425</v>
      </c>
      <c r="K9" s="64">
        <v>785719.55020531057</v>
      </c>
      <c r="L9" s="64">
        <v>779907.73435126734</v>
      </c>
      <c r="M9" s="69">
        <v>774126.91313996434</v>
      </c>
      <c r="N9" s="69">
        <v>768377.05412930844</v>
      </c>
      <c r="O9" s="69">
        <v>762658.12354665343</v>
      </c>
      <c r="P9" s="69">
        <v>756970.08629529353</v>
      </c>
      <c r="Q9" s="69">
        <v>751312.90596115822</v>
      </c>
      <c r="R9" s="69">
        <v>745686.54481969296</v>
      </c>
      <c r="S9" s="69">
        <v>740090.9638429255</v>
      </c>
    </row>
    <row r="10" spans="1:19">
      <c r="A10" s="58" t="s">
        <v>150</v>
      </c>
      <c r="B10" s="59">
        <f>B9*B12*12</f>
        <v>30000000</v>
      </c>
      <c r="C10" s="60"/>
      <c r="D10" s="63">
        <v>3.5000000000000003E-2</v>
      </c>
      <c r="E10" s="64">
        <v>791562.39180732425</v>
      </c>
      <c r="F10" s="65"/>
    </row>
    <row r="11" spans="1:19">
      <c r="A11" s="58" t="s">
        <v>149</v>
      </c>
      <c r="B11" s="66">
        <v>0</v>
      </c>
      <c r="C11" s="60"/>
      <c r="D11" s="63">
        <v>0.04</v>
      </c>
      <c r="E11" s="64">
        <v>785719.55020531057</v>
      </c>
      <c r="F11" s="65"/>
    </row>
    <row r="12" spans="1:19">
      <c r="A12" s="58" t="s">
        <v>151</v>
      </c>
      <c r="B12" s="67">
        <v>3</v>
      </c>
      <c r="C12" s="68"/>
      <c r="D12" s="63">
        <v>4.4999999999999998E-2</v>
      </c>
      <c r="E12" s="64">
        <v>779907.73435126734</v>
      </c>
      <c r="F12" s="65"/>
    </row>
    <row r="13" spans="1:19">
      <c r="C13" s="57"/>
      <c r="D13" s="63">
        <v>0.05</v>
      </c>
      <c r="E13" s="69">
        <v>774126.91313996434</v>
      </c>
      <c r="F13" s="65"/>
    </row>
    <row r="14" spans="1:19">
      <c r="C14" s="54"/>
      <c r="D14" s="63">
        <v>5.5E-2</v>
      </c>
      <c r="E14" s="69">
        <v>768377.05412930844</v>
      </c>
      <c r="F14" s="54"/>
    </row>
    <row r="15" spans="1:19">
      <c r="D15" s="63">
        <v>0.06</v>
      </c>
      <c r="E15" s="69">
        <v>762658.12354665343</v>
      </c>
      <c r="F15" s="54"/>
    </row>
    <row r="16" spans="1:19">
      <c r="D16" s="63">
        <v>6.5000000000000002E-2</v>
      </c>
      <c r="E16" s="69">
        <v>756970.08629529353</v>
      </c>
    </row>
    <row r="17" spans="1:7">
      <c r="D17" s="63">
        <v>7.0000000000000007E-2</v>
      </c>
      <c r="E17" s="69">
        <v>751312.90596115822</v>
      </c>
    </row>
    <row r="18" spans="1:7">
      <c r="D18" s="63">
        <v>7.4999999999999997E-2</v>
      </c>
      <c r="E18" s="69">
        <v>745686.54481969296</v>
      </c>
    </row>
    <row r="19" spans="1:7">
      <c r="D19" s="63">
        <v>0.08</v>
      </c>
      <c r="E19" s="69">
        <v>740090.9638429255</v>
      </c>
    </row>
    <row r="21" spans="1:7">
      <c r="A21" s="70"/>
      <c r="B21" s="70"/>
      <c r="C21" s="70"/>
      <c r="D21" s="71"/>
      <c r="E21" s="70"/>
      <c r="F21" s="70"/>
    </row>
    <row r="25" spans="1:7">
      <c r="A25" s="7" t="s">
        <v>233</v>
      </c>
      <c r="B25" s="7" t="s">
        <v>3</v>
      </c>
      <c r="C25" s="7" t="s">
        <v>4</v>
      </c>
      <c r="D25" s="7" t="s">
        <v>5</v>
      </c>
      <c r="E25" s="7" t="s">
        <v>6</v>
      </c>
      <c r="F25" s="7" t="s">
        <v>7</v>
      </c>
      <c r="G25" s="7" t="s">
        <v>40</v>
      </c>
    </row>
    <row r="26" spans="1:7">
      <c r="A26" s="3">
        <v>1</v>
      </c>
      <c r="B26" s="8" t="s">
        <v>9</v>
      </c>
      <c r="C26" s="10">
        <v>2</v>
      </c>
      <c r="D26" s="8" t="s">
        <v>10</v>
      </c>
      <c r="E26" s="8" t="s">
        <v>11</v>
      </c>
      <c r="F26" s="11">
        <v>80000</v>
      </c>
      <c r="G26" s="123">
        <v>7</v>
      </c>
    </row>
    <row r="27" spans="1:7">
      <c r="A27" s="3">
        <v>2</v>
      </c>
      <c r="B27" s="8" t="s">
        <v>9</v>
      </c>
      <c r="C27" s="10">
        <v>2</v>
      </c>
      <c r="D27" s="8" t="s">
        <v>10</v>
      </c>
      <c r="E27" s="8" t="s">
        <v>11</v>
      </c>
      <c r="F27" s="11">
        <v>110000</v>
      </c>
      <c r="G27" s="123">
        <v>5</v>
      </c>
    </row>
    <row r="28" spans="1:7">
      <c r="A28" s="3">
        <v>3</v>
      </c>
      <c r="B28" s="8" t="s">
        <v>13</v>
      </c>
      <c r="C28" s="10">
        <v>3</v>
      </c>
      <c r="D28" s="8" t="s">
        <v>10</v>
      </c>
      <c r="E28" s="8" t="s">
        <v>14</v>
      </c>
      <c r="F28" s="11">
        <v>120000</v>
      </c>
      <c r="G28" s="123">
        <v>12</v>
      </c>
    </row>
    <row r="29" spans="1:7">
      <c r="A29" s="3">
        <v>4</v>
      </c>
      <c r="B29" s="8" t="s">
        <v>15</v>
      </c>
      <c r="C29" s="10">
        <v>3</v>
      </c>
      <c r="D29" s="8" t="s">
        <v>10</v>
      </c>
      <c r="E29" s="8" t="s">
        <v>14</v>
      </c>
      <c r="F29" s="11">
        <v>120000</v>
      </c>
      <c r="G29" s="123">
        <v>4</v>
      </c>
    </row>
    <row r="30" spans="1:7">
      <c r="A30" s="3">
        <v>5</v>
      </c>
      <c r="B30" s="8" t="s">
        <v>16</v>
      </c>
      <c r="C30" s="10">
        <v>3</v>
      </c>
      <c r="D30" s="8" t="s">
        <v>10</v>
      </c>
      <c r="E30" s="8" t="s">
        <v>14</v>
      </c>
      <c r="F30" s="11">
        <v>120000</v>
      </c>
      <c r="G30" s="123">
        <v>1</v>
      </c>
    </row>
    <row r="31" spans="1:7">
      <c r="A31" s="3">
        <v>6</v>
      </c>
      <c r="B31" s="8" t="s">
        <v>13</v>
      </c>
      <c r="C31" s="10">
        <v>3</v>
      </c>
      <c r="D31" s="8" t="s">
        <v>10</v>
      </c>
      <c r="E31" s="8" t="s">
        <v>14</v>
      </c>
      <c r="F31" s="11">
        <v>120000</v>
      </c>
      <c r="G31" s="123">
        <v>12</v>
      </c>
    </row>
    <row r="32" spans="1:7">
      <c r="A32" s="3">
        <v>7</v>
      </c>
      <c r="B32" s="8" t="s">
        <v>15</v>
      </c>
      <c r="C32" s="10">
        <v>3</v>
      </c>
      <c r="D32" s="8" t="s">
        <v>10</v>
      </c>
      <c r="E32" s="8" t="s">
        <v>14</v>
      </c>
      <c r="F32" s="11">
        <v>120000</v>
      </c>
      <c r="G32" s="123">
        <v>1</v>
      </c>
    </row>
    <row r="33" spans="1:7">
      <c r="A33" s="3">
        <v>8</v>
      </c>
      <c r="B33" s="8" t="s">
        <v>0</v>
      </c>
      <c r="C33" s="10">
        <v>1</v>
      </c>
      <c r="D33" s="8" t="s">
        <v>18</v>
      </c>
      <c r="E33" s="8" t="s">
        <v>19</v>
      </c>
      <c r="F33" s="11">
        <v>100000</v>
      </c>
      <c r="G33" s="123">
        <v>9</v>
      </c>
    </row>
    <row r="34" spans="1:7">
      <c r="A34" s="3">
        <v>9</v>
      </c>
      <c r="B34" s="8" t="s">
        <v>20</v>
      </c>
      <c r="C34" s="10">
        <v>1</v>
      </c>
      <c r="D34" s="8" t="s">
        <v>18</v>
      </c>
      <c r="E34" s="8" t="s">
        <v>19</v>
      </c>
      <c r="F34" s="11">
        <v>100000</v>
      </c>
      <c r="G34" s="123">
        <v>1</v>
      </c>
    </row>
    <row r="35" spans="1:7">
      <c r="A35" s="3">
        <v>10</v>
      </c>
      <c r="B35" s="13" t="s">
        <v>22</v>
      </c>
      <c r="C35" s="14">
        <v>1</v>
      </c>
      <c r="D35" s="13" t="s">
        <v>23</v>
      </c>
      <c r="E35" s="13" t="s">
        <v>24</v>
      </c>
      <c r="F35" s="15">
        <v>90000</v>
      </c>
      <c r="G35" s="123">
        <v>3</v>
      </c>
    </row>
  </sheetData>
  <dataConsolidate/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설정">
                <anchor moveWithCells="1" siz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L17"/>
  <sheetViews>
    <sheetView workbookViewId="0">
      <selection activeCell="F10" sqref="F10"/>
    </sheetView>
  </sheetViews>
  <sheetFormatPr defaultRowHeight="16.5"/>
  <cols>
    <col min="1" max="1" width="5.625" style="1" customWidth="1"/>
    <col min="2" max="2" width="9.625" style="72" customWidth="1"/>
    <col min="3" max="3" width="9.875" style="72" customWidth="1"/>
    <col min="4" max="4" width="10.75" style="72" customWidth="1"/>
    <col min="5" max="5" width="8.125" style="73" customWidth="1"/>
    <col min="6" max="7" width="13" style="73" customWidth="1"/>
    <col min="8" max="8" width="10.75" style="72" customWidth="1"/>
    <col min="9" max="9" width="8.5" style="74" bestFit="1" customWidth="1"/>
    <col min="10" max="10" width="8.375" style="74" customWidth="1"/>
    <col min="11" max="11" width="10.625" style="74" customWidth="1"/>
    <col min="12" max="12" width="12.875" style="73" customWidth="1"/>
    <col min="13" max="16384" width="9" style="1"/>
  </cols>
  <sheetData>
    <row r="1" spans="2:12">
      <c r="B1" s="72" t="s">
        <v>173</v>
      </c>
      <c r="C1" s="1"/>
      <c r="D1" s="1"/>
      <c r="E1" s="1"/>
      <c r="F1" s="1"/>
      <c r="G1" s="1"/>
    </row>
    <row r="2" spans="2:12">
      <c r="C2" s="79"/>
      <c r="D2" s="79"/>
    </row>
    <row r="3" spans="2:12">
      <c r="B3" s="43" t="s">
        <v>174</v>
      </c>
      <c r="C3" s="43" t="s">
        <v>175</v>
      </c>
      <c r="D3" s="43" t="s">
        <v>176</v>
      </c>
      <c r="E3" s="43" t="s">
        <v>5</v>
      </c>
      <c r="F3" s="43" t="s">
        <v>182</v>
      </c>
      <c r="G3" s="43" t="s">
        <v>183</v>
      </c>
    </row>
    <row r="4" spans="2:12">
      <c r="B4" s="5"/>
      <c r="C4" s="5"/>
      <c r="D4" s="5"/>
      <c r="E4" s="5"/>
      <c r="F4" s="5"/>
      <c r="G4" s="5"/>
    </row>
    <row r="5" spans="2:12">
      <c r="B5" s="5"/>
      <c r="C5" s="5"/>
      <c r="D5" s="5"/>
      <c r="E5" s="5"/>
      <c r="F5" s="5"/>
      <c r="G5" s="5"/>
      <c r="I5" s="42" t="s">
        <v>178</v>
      </c>
    </row>
    <row r="6" spans="2:12">
      <c r="B6" s="5"/>
      <c r="C6" s="5"/>
      <c r="D6" s="5"/>
      <c r="E6" s="5"/>
      <c r="F6" s="5"/>
      <c r="G6" s="5"/>
      <c r="I6" s="43" t="s">
        <v>1</v>
      </c>
      <c r="J6" s="43" t="s">
        <v>179</v>
      </c>
      <c r="K6" s="43" t="s">
        <v>177</v>
      </c>
      <c r="L6" s="77" t="s">
        <v>180</v>
      </c>
    </row>
    <row r="7" spans="2:12">
      <c r="B7" s="5"/>
      <c r="C7" s="5"/>
      <c r="D7" s="5"/>
      <c r="E7" s="5"/>
      <c r="F7" s="5"/>
      <c r="G7" s="5"/>
      <c r="I7" s="5" t="s">
        <v>73</v>
      </c>
      <c r="J7" s="75" t="s">
        <v>181</v>
      </c>
      <c r="K7" s="75" t="s">
        <v>39</v>
      </c>
      <c r="L7" s="78">
        <v>100000</v>
      </c>
    </row>
    <row r="8" spans="2:12">
      <c r="B8" s="5"/>
      <c r="C8" s="5"/>
      <c r="D8" s="5"/>
      <c r="E8" s="5"/>
      <c r="F8" s="5"/>
      <c r="G8" s="5"/>
      <c r="I8" s="5" t="s">
        <v>8</v>
      </c>
      <c r="J8" s="75" t="s">
        <v>153</v>
      </c>
      <c r="K8" s="5" t="s">
        <v>154</v>
      </c>
      <c r="L8" s="78">
        <v>110000</v>
      </c>
    </row>
    <row r="9" spans="2:12">
      <c r="B9" s="5"/>
      <c r="C9" s="5"/>
      <c r="D9" s="5"/>
      <c r="E9" s="5"/>
      <c r="F9" s="5"/>
      <c r="G9" s="5"/>
      <c r="I9" s="5" t="s">
        <v>100</v>
      </c>
      <c r="J9" s="75" t="s">
        <v>23</v>
      </c>
      <c r="K9" s="75" t="s">
        <v>155</v>
      </c>
      <c r="L9" s="78">
        <v>100000</v>
      </c>
    </row>
    <row r="10" spans="2:12">
      <c r="B10" s="5"/>
      <c r="C10" s="5"/>
      <c r="D10" s="5"/>
      <c r="E10" s="5"/>
      <c r="F10" s="112"/>
      <c r="G10" s="5"/>
      <c r="I10" s="5" t="s">
        <v>156</v>
      </c>
      <c r="J10" s="75" t="s">
        <v>157</v>
      </c>
      <c r="K10" s="75" t="s">
        <v>158</v>
      </c>
      <c r="L10" s="78">
        <v>100000</v>
      </c>
    </row>
    <row r="11" spans="2:12">
      <c r="B11" s="5"/>
      <c r="C11" s="5"/>
      <c r="D11" s="5"/>
      <c r="E11" s="5"/>
      <c r="F11" s="5"/>
      <c r="G11" s="5"/>
      <c r="I11" s="5" t="s">
        <v>159</v>
      </c>
      <c r="J11" s="75" t="s">
        <v>160</v>
      </c>
      <c r="K11" s="5" t="s">
        <v>152</v>
      </c>
      <c r="L11" s="78">
        <v>120000</v>
      </c>
    </row>
    <row r="12" spans="2:12">
      <c r="B12" s="5"/>
      <c r="C12" s="5"/>
      <c r="D12" s="80"/>
      <c r="E12" s="5"/>
      <c r="F12" s="5"/>
      <c r="G12" s="5"/>
      <c r="I12" s="5" t="s">
        <v>161</v>
      </c>
      <c r="J12" s="5" t="s">
        <v>162</v>
      </c>
      <c r="K12" s="75" t="s">
        <v>163</v>
      </c>
      <c r="L12" s="78">
        <v>120000</v>
      </c>
    </row>
    <row r="13" spans="2:12">
      <c r="B13" s="5"/>
      <c r="C13" s="5"/>
      <c r="D13" s="5"/>
      <c r="E13" s="5"/>
      <c r="F13" s="5"/>
      <c r="G13" s="5"/>
      <c r="I13" s="5" t="s">
        <v>164</v>
      </c>
      <c r="J13" s="75" t="s">
        <v>165</v>
      </c>
      <c r="K13" s="5" t="s">
        <v>166</v>
      </c>
      <c r="L13" s="78">
        <v>110000</v>
      </c>
    </row>
    <row r="14" spans="2:12">
      <c r="B14" s="5"/>
      <c r="C14" s="5"/>
      <c r="D14" s="5"/>
      <c r="E14" s="5"/>
      <c r="F14" s="5"/>
      <c r="G14" s="5"/>
      <c r="I14" s="5" t="s">
        <v>167</v>
      </c>
      <c r="J14" s="75" t="s">
        <v>168</v>
      </c>
      <c r="K14" s="5" t="s">
        <v>169</v>
      </c>
      <c r="L14" s="78">
        <v>100000</v>
      </c>
    </row>
    <row r="15" spans="2:12">
      <c r="B15" s="5"/>
      <c r="C15" s="5"/>
      <c r="D15" s="5"/>
      <c r="E15" s="5"/>
      <c r="F15" s="5"/>
      <c r="G15" s="5"/>
      <c r="I15" s="5" t="s">
        <v>170</v>
      </c>
      <c r="J15" s="75" t="s">
        <v>171</v>
      </c>
      <c r="K15" s="5" t="s">
        <v>172</v>
      </c>
      <c r="L15" s="78">
        <v>100000</v>
      </c>
    </row>
    <row r="16" spans="2:12">
      <c r="B16" s="5"/>
      <c r="C16" s="5"/>
      <c r="D16" s="5"/>
      <c r="E16" s="5"/>
      <c r="F16" s="5"/>
      <c r="G16" s="5"/>
    </row>
    <row r="17" spans="2:3">
      <c r="B17" s="76"/>
      <c r="C17" s="76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7" r:id="rId3" name="Cmd입력">
          <controlPr defaultSize="0" autoLine="0" r:id="rId4">
            <anchor moveWithCells="1">
              <from>
                <xdr:col>10</xdr:col>
                <xdr:colOff>161925</xdr:colOff>
                <xdr:row>0</xdr:row>
                <xdr:rowOff>152400</xdr:rowOff>
              </from>
              <to>
                <xdr:col>11</xdr:col>
                <xdr:colOff>600075</xdr:colOff>
                <xdr:row>3</xdr:row>
                <xdr:rowOff>85725</xdr:rowOff>
              </to>
            </anchor>
          </controlPr>
        </control>
      </mc:Choice>
      <mc:Fallback>
        <control shapeId="3077" r:id="rId3" name="Cmd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7</vt:i4>
      </vt:variant>
      <vt:variant>
        <vt:lpstr>차트</vt:lpstr>
      </vt:variant>
      <vt:variant>
        <vt:i4>1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  <vt:lpstr>차트작성</vt:lpstr>
      <vt:lpstr>'기본작업-1'!Criteria</vt:lpstr>
      <vt:lpstr>'기본작업-1'!Extract</vt:lpstr>
      <vt:lpstr>'기본작업-1'!Print_Area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icam</cp:lastModifiedBy>
  <cp:lastPrinted>2017-08-11T04:55:39Z</cp:lastPrinted>
  <dcterms:created xsi:type="dcterms:W3CDTF">2016-04-11T07:21:32Z</dcterms:created>
  <dcterms:modified xsi:type="dcterms:W3CDTF">2020-12-09T08:19:02Z</dcterms:modified>
</cp:coreProperties>
</file>