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7회\"/>
    </mc:Choice>
  </mc:AlternateContent>
  <xr:revisionPtr revIDLastSave="0" documentId="13_ncr:1_{E3F3B976-A543-4228-A546-30BB71D1F920}" xr6:coauthVersionLast="47" xr6:coauthVersionMax="47" xr10:uidLastSave="{00000000-0000-0000-0000-000000000000}"/>
  <bookViews>
    <workbookView xWindow="-108" yWindow="-108" windowWidth="22140" windowHeight="13176" tabRatio="759" firstSheet="1" activeTab="8" xr2:uid="{00000000-000D-0000-FFFF-FFFF00000000}"/>
  </bookViews>
  <sheets>
    <sheet name="기본작업-1" sheetId="2" r:id="rId1"/>
    <sheet name="기본작업-2" sheetId="15" r:id="rId2"/>
    <sheet name="계산작업" sheetId="3" r:id="rId3"/>
    <sheet name="분석작업-1" sheetId="9" r:id="rId4"/>
    <sheet name="요약" sheetId="17" r:id="rId5"/>
    <sheet name="분석작업-2" sheetId="16" r:id="rId6"/>
    <sheet name="기타작업-1" sheetId="13" r:id="rId7"/>
    <sheet name="기타작업-2" sheetId="10" r:id="rId8"/>
    <sheet name="기타작업-3" sheetId="14" r:id="rId9"/>
  </sheets>
  <functionGroups builtInGroupCount="19"/>
  <definedNames>
    <definedName name="_xlnm._FilterDatabase" localSheetId="2" hidden="1">계산작업!#REF!</definedName>
    <definedName name="_xlnm._FilterDatabase" localSheetId="0" hidden="1">'기본작업-1'!$B$3:$G$26</definedName>
    <definedName name="_xlnm._FilterDatabase" localSheetId="7" hidden="1">'기타작업-2'!#REF!</definedName>
    <definedName name="_xlnm.Criteria" localSheetId="0">'기본작업-1'!$B$28:$C$30</definedName>
    <definedName name="_xlnm.Extract" localSheetId="0">'기본작업-1'!$B$33:$G$33</definedName>
    <definedName name="MS_Access_Database_Query" localSheetId="0">'기본작업-1'!#REF!</definedName>
    <definedName name="성적" localSheetId="5">'분석작업-2'!#REF!</definedName>
    <definedName name="순이익율">'기타작업-2'!$H$17</definedName>
    <definedName name="순이익합계">'기타작업-2'!$H$15</definedName>
  </definedNames>
  <calcPr calcId="191029"/>
  <pivotCaches>
    <pivotCache cacheId="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3" l="1"/>
  <c r="S6" i="3"/>
  <c r="S7" i="3"/>
  <c r="S8" i="3"/>
  <c r="S9" i="3"/>
  <c r="S10" i="3"/>
  <c r="S11" i="3"/>
  <c r="S12" i="3"/>
  <c r="S13" i="3"/>
  <c r="S14" i="3"/>
  <c r="S15" i="3"/>
  <c r="S4" i="3"/>
  <c r="G28" i="3" a="1"/>
  <c r="G28" i="3" s="1"/>
  <c r="G29" i="3" a="1"/>
  <c r="G29" i="3" s="1"/>
  <c r="G30" i="3" a="1"/>
  <c r="G30" i="3" s="1"/>
  <c r="G27" i="3" a="1"/>
  <c r="G27" i="3" s="1"/>
  <c r="E20" i="3"/>
  <c r="D20" i="3"/>
  <c r="D6" i="3"/>
  <c r="E6" i="3"/>
  <c r="F6" i="3"/>
  <c r="G6" i="3"/>
  <c r="H6" i="3"/>
  <c r="C6" i="3"/>
  <c r="B29" i="2"/>
  <c r="C30" i="2"/>
  <c r="D17" i="16"/>
  <c r="D16" i="16"/>
  <c r="D15" i="16"/>
  <c r="D14" i="16"/>
  <c r="D13" i="16"/>
  <c r="D12" i="16"/>
  <c r="I8" i="16"/>
  <c r="D8" i="16"/>
  <c r="I7" i="16"/>
  <c r="D7" i="16"/>
  <c r="I6" i="16"/>
  <c r="D6" i="16"/>
  <c r="I5" i="16"/>
  <c r="D5" i="16"/>
  <c r="I4" i="16"/>
  <c r="D4" i="16"/>
  <c r="I3" i="16"/>
  <c r="D3" i="16"/>
  <c r="R28" i="3" a="1"/>
  <c r="R32" i="3" a="1"/>
  <c r="R36" i="3" a="1"/>
  <c r="R40" i="3" a="1"/>
  <c r="R44" i="3" a="1"/>
  <c r="R48" i="3" a="1"/>
  <c r="R46" i="3" a="1"/>
  <c r="R47" i="3" a="1"/>
  <c r="R41" i="3" a="1"/>
  <c r="R39" i="3" a="1"/>
  <c r="R29" i="3" a="1"/>
  <c r="R33" i="3" a="1"/>
  <c r="R37" i="3" a="1"/>
  <c r="R45" i="3" a="1"/>
  <c r="R49" i="3" a="1"/>
  <c r="R38" i="3" a="1"/>
  <c r="R43" i="3" a="1"/>
  <c r="R34" i="3" a="1"/>
  <c r="R31" i="3" a="1"/>
  <c r="R30" i="3" a="1"/>
  <c r="R42" i="3" a="1"/>
  <c r="R50" i="3" a="1"/>
  <c r="R35" i="3" a="1"/>
  <c r="R51" i="3" a="1"/>
  <c r="R27" i="3" a="1"/>
  <c r="R51" i="3" l="1"/>
  <c r="R35" i="3"/>
  <c r="R50" i="3"/>
  <c r="R42" i="3"/>
  <c r="R30" i="3"/>
  <c r="R31" i="3"/>
  <c r="R34" i="3"/>
  <c r="R43" i="3"/>
  <c r="R38" i="3"/>
  <c r="R49" i="3"/>
  <c r="R45" i="3"/>
  <c r="R37" i="3"/>
  <c r="R33" i="3"/>
  <c r="R29" i="3"/>
  <c r="R39" i="3"/>
  <c r="R41" i="3"/>
  <c r="R47" i="3"/>
  <c r="R46" i="3"/>
  <c r="R48" i="3"/>
  <c r="R44" i="3"/>
  <c r="R40" i="3"/>
  <c r="R36" i="3"/>
  <c r="R32" i="3"/>
  <c r="R28" i="3"/>
  <c r="R27" i="3"/>
  <c r="G15" i="10"/>
  <c r="E15" i="10"/>
  <c r="F15" i="10" s="1"/>
  <c r="D15" i="10"/>
  <c r="F14" i="10"/>
  <c r="H14" i="10" s="1"/>
  <c r="F13" i="10"/>
  <c r="H13" i="10" s="1"/>
  <c r="F12" i="10"/>
  <c r="H12" i="10" s="1"/>
  <c r="F11" i="10"/>
  <c r="H11" i="10" s="1"/>
  <c r="F10" i="10"/>
  <c r="H10" i="10" s="1"/>
  <c r="F9" i="10"/>
  <c r="H9" i="10" s="1"/>
  <c r="F8" i="10"/>
  <c r="H8" i="10" s="1"/>
  <c r="F7" i="10"/>
  <c r="H7" i="10" s="1"/>
  <c r="F6" i="10"/>
  <c r="H6" i="10" s="1"/>
  <c r="F5" i="10"/>
  <c r="H5" i="10" s="1"/>
  <c r="H15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ydk78@naver.com</author>
  </authors>
  <commentList>
    <comment ref="D2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카드승인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82219E-12A3-4120-A6D2-6CCF75F342A1}" name="MS Access Database_Query" type="1" refreshedVersion="7" background="1">
    <dbPr connection="DSN=MS Access Database;DBQ=C:\편의점.mdb;DefaultDir=C:\Users\82109\Documents;DriverId=25;FIL=MS Access;MaxBufferSize=2048;PageTimeout=5;" command="SELECT 주문내역.주문순서, 주문내역.주문일자, 주문내역.주문코드, 주문내역.거래구분, 주문내역.상품명, 주문내역.주문수량, 주문내역.판매수량, 주문내역.가격, 주문내역.포인트, 주문내역.비고_x000d__x000a_FROM `C:\편의점.mdb`.주문내역 주문내역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<sst xmlns="http://schemas.openxmlformats.org/spreadsheetml/2006/main" count="570" uniqueCount="293">
  <si>
    <t>성명</t>
    <phoneticPr fontId="1" type="noConversion"/>
  </si>
  <si>
    <t>생년월일</t>
    <phoneticPr fontId="1" type="noConversion"/>
  </si>
  <si>
    <t>장명수</t>
  </si>
  <si>
    <t>김승철</t>
  </si>
  <si>
    <t>정민호</t>
  </si>
  <si>
    <t>박근호</t>
  </si>
  <si>
    <t>손수호</t>
  </si>
  <si>
    <t>김병수</t>
  </si>
  <si>
    <t>구웅희</t>
  </si>
  <si>
    <t>양경민</t>
  </si>
  <si>
    <t>이미연</t>
  </si>
  <si>
    <t>변기영</t>
  </si>
  <si>
    <t>노진일</t>
  </si>
  <si>
    <t>채우리</t>
  </si>
  <si>
    <t>성은희</t>
  </si>
  <si>
    <t>이만열</t>
  </si>
  <si>
    <t>김현진</t>
  </si>
  <si>
    <t>정상욱</t>
  </si>
  <si>
    <t>홍길동</t>
    <phoneticPr fontId="1" type="noConversion"/>
  </si>
  <si>
    <t>금단이</t>
    <phoneticPr fontId="1" type="noConversion"/>
  </si>
  <si>
    <t>차돌이</t>
    <phoneticPr fontId="1" type="noConversion"/>
  </si>
  <si>
    <t>박민수</t>
    <phoneticPr fontId="1" type="noConversion"/>
  </si>
  <si>
    <t>최가은</t>
    <phoneticPr fontId="1" type="noConversion"/>
  </si>
  <si>
    <t>심은혜</t>
    <phoneticPr fontId="1" type="noConversion"/>
  </si>
  <si>
    <t>박가영</t>
    <phoneticPr fontId="1" type="noConversion"/>
  </si>
  <si>
    <t>국어</t>
    <phoneticPr fontId="9" type="noConversion"/>
  </si>
  <si>
    <t>영어</t>
    <phoneticPr fontId="9" type="noConversion"/>
  </si>
  <si>
    <t>수학</t>
    <phoneticPr fontId="9" type="noConversion"/>
  </si>
  <si>
    <t>과학</t>
    <phoneticPr fontId="9" type="noConversion"/>
  </si>
  <si>
    <t>[표1]</t>
    <phoneticPr fontId="2" type="noConversion"/>
  </si>
  <si>
    <t>[표4]</t>
    <phoneticPr fontId="1" type="noConversion"/>
  </si>
  <si>
    <t>연이율</t>
    <phoneticPr fontId="2" type="noConversion"/>
  </si>
  <si>
    <t>번호</t>
    <phoneticPr fontId="2" type="noConversion"/>
  </si>
  <si>
    <t>학과</t>
    <phoneticPr fontId="2" type="noConversion"/>
  </si>
  <si>
    <t>중간</t>
    <phoneticPr fontId="2" type="noConversion"/>
  </si>
  <si>
    <t>기말</t>
    <phoneticPr fontId="2" type="noConversion"/>
  </si>
  <si>
    <t>과제</t>
    <phoneticPr fontId="2" type="noConversion"/>
  </si>
  <si>
    <t>출석</t>
    <phoneticPr fontId="2" type="noConversion"/>
  </si>
  <si>
    <t>과목</t>
    <phoneticPr fontId="2" type="noConversion"/>
  </si>
  <si>
    <t>기간(년)</t>
    <phoneticPr fontId="2" type="noConversion"/>
  </si>
  <si>
    <t>c002</t>
    <phoneticPr fontId="2" type="noConversion"/>
  </si>
  <si>
    <t>전자공학</t>
    <phoneticPr fontId="2" type="noConversion"/>
  </si>
  <si>
    <t>월납입액</t>
    <phoneticPr fontId="2" type="noConversion"/>
  </si>
  <si>
    <t>현재가치</t>
    <phoneticPr fontId="2" type="noConversion"/>
  </si>
  <si>
    <t>컴퓨터공학</t>
    <phoneticPr fontId="2" type="noConversion"/>
  </si>
  <si>
    <t>p005</t>
    <phoneticPr fontId="2" type="noConversion"/>
  </si>
  <si>
    <t>p005</t>
  </si>
  <si>
    <t>[표2]</t>
    <phoneticPr fontId="1" type="noConversion"/>
  </si>
  <si>
    <t>학번</t>
    <phoneticPr fontId="9" type="noConversion"/>
  </si>
  <si>
    <t>이름</t>
    <phoneticPr fontId="9" type="noConversion"/>
  </si>
  <si>
    <t>기말고사</t>
    <phoneticPr fontId="9" type="noConversion"/>
  </si>
  <si>
    <t>중간고사</t>
    <phoneticPr fontId="9" type="noConversion"/>
  </si>
  <si>
    <t>등급</t>
    <phoneticPr fontId="9" type="noConversion"/>
  </si>
  <si>
    <t>비고</t>
    <phoneticPr fontId="9" type="noConversion"/>
  </si>
  <si>
    <t>s007</t>
    <phoneticPr fontId="2" type="noConversion"/>
  </si>
  <si>
    <t>홍길동</t>
    <phoneticPr fontId="9" type="noConversion"/>
  </si>
  <si>
    <t>A</t>
    <phoneticPr fontId="9" type="noConversion"/>
  </si>
  <si>
    <t>우등생</t>
    <phoneticPr fontId="9" type="noConversion"/>
  </si>
  <si>
    <t>s007</t>
  </si>
  <si>
    <t>박길동</t>
    <phoneticPr fontId="9" type="noConversion"/>
  </si>
  <si>
    <t>B</t>
    <phoneticPr fontId="9" type="noConversion"/>
  </si>
  <si>
    <t>김길동</t>
    <phoneticPr fontId="9" type="noConversion"/>
  </si>
  <si>
    <t>최길동</t>
    <phoneticPr fontId="9" type="noConversion"/>
  </si>
  <si>
    <t>C</t>
    <phoneticPr fontId="9" type="noConversion"/>
  </si>
  <si>
    <t>이길동</t>
    <phoneticPr fontId="9" type="noConversion"/>
  </si>
  <si>
    <t>[표4-2]</t>
    <phoneticPr fontId="1" type="noConversion"/>
  </si>
  <si>
    <t>[표4-3]</t>
    <phoneticPr fontId="1" type="noConversion"/>
  </si>
  <si>
    <t>c</t>
    <phoneticPr fontId="2" type="noConversion"/>
  </si>
  <si>
    <t>p</t>
    <phoneticPr fontId="2" type="noConversion"/>
  </si>
  <si>
    <t>s</t>
    <phoneticPr fontId="2" type="noConversion"/>
  </si>
  <si>
    <t>번호</t>
    <phoneticPr fontId="1" type="noConversion"/>
  </si>
  <si>
    <t>조건</t>
    <phoneticPr fontId="1" type="noConversion"/>
  </si>
  <si>
    <t>점수차이가 10이상이고 등급이 A인 자료의 개수</t>
    <phoneticPr fontId="9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</si>
  <si>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</si>
  <si>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</si>
  <si>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</si>
  <si>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필수</t>
    <phoneticPr fontId="2" type="noConversion"/>
  </si>
  <si>
    <t>교양</t>
    <phoneticPr fontId="2" type="noConversion"/>
  </si>
  <si>
    <t>전공</t>
    <phoneticPr fontId="2" type="noConversion"/>
  </si>
  <si>
    <t>[표3]</t>
    <phoneticPr fontId="1" type="noConversion"/>
  </si>
  <si>
    <t>[표3-2]</t>
    <phoneticPr fontId="1" type="noConversion"/>
  </si>
  <si>
    <t>[표5]</t>
    <phoneticPr fontId="2" type="noConversion"/>
  </si>
  <si>
    <t>코드</t>
    <phoneticPr fontId="2" type="noConversion"/>
  </si>
  <si>
    <t>단가</t>
    <phoneticPr fontId="2" type="noConversion"/>
  </si>
  <si>
    <t>수량</t>
    <phoneticPr fontId="2" type="noConversion"/>
  </si>
  <si>
    <t>제품수</t>
    <phoneticPr fontId="2" type="noConversion"/>
  </si>
  <si>
    <t>고객번호</t>
  </si>
  <si>
    <t>크기</t>
    <phoneticPr fontId="2" type="noConversion"/>
  </si>
  <si>
    <t>판매수량</t>
    <phoneticPr fontId="2" type="noConversion"/>
  </si>
  <si>
    <t>단가</t>
  </si>
  <si>
    <t>배달방법</t>
    <phoneticPr fontId="2" type="noConversion"/>
  </si>
  <si>
    <t>배달금액</t>
    <phoneticPr fontId="2" type="noConversion"/>
  </si>
  <si>
    <t>aa-10</t>
    <phoneticPr fontId="2" type="noConversion"/>
  </si>
  <si>
    <t>aa-00</t>
    <phoneticPr fontId="2" type="noConversion"/>
  </si>
  <si>
    <t>A001</t>
    <phoneticPr fontId="1" type="noConversion"/>
  </si>
  <si>
    <t>대</t>
    <phoneticPr fontId="2" type="noConversion"/>
  </si>
  <si>
    <t>택배</t>
    <phoneticPr fontId="2" type="noConversion"/>
  </si>
  <si>
    <t>aa-20</t>
    <phoneticPr fontId="2" type="noConversion"/>
  </si>
  <si>
    <t>A002</t>
  </si>
  <si>
    <t>중</t>
    <phoneticPr fontId="2" type="noConversion"/>
  </si>
  <si>
    <t>퀵</t>
    <phoneticPr fontId="2" type="noConversion"/>
  </si>
  <si>
    <t>aa-20</t>
    <phoneticPr fontId="1" type="noConversion"/>
  </si>
  <si>
    <t>A003</t>
  </si>
  <si>
    <t>aa-50</t>
    <phoneticPr fontId="2" type="noConversion"/>
  </si>
  <si>
    <t>aa-50</t>
    <phoneticPr fontId="1" type="noConversion"/>
  </si>
  <si>
    <t>A004</t>
  </si>
  <si>
    <t>직접수령</t>
    <phoneticPr fontId="2" type="noConversion"/>
  </si>
  <si>
    <t>aa-00</t>
    <phoneticPr fontId="1" type="noConversion"/>
  </si>
  <si>
    <t>A005</t>
  </si>
  <si>
    <t>소</t>
    <phoneticPr fontId="2" type="noConversion"/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</si>
  <si>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</si>
  <si>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</si>
  <si>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</si>
  <si>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</si>
  <si>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</si>
  <si>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</si>
  <si>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</si>
  <si>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</si>
  <si>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</si>
  <si>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</si>
  <si>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</si>
  <si>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</si>
  <si>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</si>
  <si>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</si>
  <si>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</si>
  <si>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</si>
  <si>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</si>
  <si>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</si>
  <si>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</si>
  <si>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</si>
  <si>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</si>
  <si>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</si>
  <si>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</si>
  <si>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</si>
  <si>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</si>
  <si>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</si>
  <si>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</si>
  <si>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</si>
  <si>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</si>
  <si>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</si>
  <si>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</si>
  <si>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</si>
  <si>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</si>
  <si>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1" type="noConversion"/>
  </si>
  <si>
    <t>지면</t>
  </si>
  <si>
    <t>[4회 평균]</t>
    <phoneticPr fontId="1" type="noConversion"/>
  </si>
  <si>
    <t>5cm</t>
  </si>
  <si>
    <t>(℃)</t>
  </si>
  <si>
    <t>10cm</t>
  </si>
  <si>
    <t>30cm</t>
  </si>
  <si>
    <t>[표1]</t>
    <phoneticPr fontId="2" type="noConversion"/>
  </si>
  <si>
    <t>등록 현황</t>
    <phoneticPr fontId="2" type="noConversion"/>
  </si>
  <si>
    <t>이름</t>
    <phoneticPr fontId="2" type="noConversion"/>
  </si>
  <si>
    <t>분류</t>
    <phoneticPr fontId="2" type="noConversion"/>
  </si>
  <si>
    <t>과목명</t>
    <phoneticPr fontId="2" type="noConversion"/>
  </si>
  <si>
    <t>강사명</t>
    <phoneticPr fontId="2" type="noConversion"/>
  </si>
  <si>
    <t>수강료</t>
    <phoneticPr fontId="2" type="noConversion"/>
  </si>
  <si>
    <t>유민경</t>
  </si>
  <si>
    <t>중학생</t>
  </si>
  <si>
    <t>국어</t>
  </si>
  <si>
    <t>이숙경</t>
  </si>
  <si>
    <t>분류</t>
    <phoneticPr fontId="2" type="noConversion"/>
  </si>
  <si>
    <t>강좌명</t>
    <phoneticPr fontId="2" type="noConversion"/>
  </si>
  <si>
    <t>강사명</t>
    <phoneticPr fontId="2" type="noConversion"/>
  </si>
  <si>
    <t>수강료</t>
    <phoneticPr fontId="2" type="noConversion"/>
  </si>
  <si>
    <t>정원</t>
    <phoneticPr fontId="2" type="noConversion"/>
  </si>
  <si>
    <t>초등
학생</t>
    <phoneticPr fontId="2" type="noConversion"/>
  </si>
  <si>
    <t>국어</t>
    <phoneticPr fontId="2" type="noConversion"/>
  </si>
  <si>
    <t>김예선</t>
    <phoneticPr fontId="2" type="noConversion"/>
  </si>
  <si>
    <t>영어</t>
    <phoneticPr fontId="2" type="noConversion"/>
  </si>
  <si>
    <t>민정희</t>
    <phoneticPr fontId="2" type="noConversion"/>
  </si>
  <si>
    <t>수학</t>
    <phoneticPr fontId="2" type="noConversion"/>
  </si>
  <si>
    <t>이수진</t>
    <phoneticPr fontId="2" type="noConversion"/>
  </si>
  <si>
    <t>중학생</t>
    <phoneticPr fontId="2" type="noConversion"/>
  </si>
  <si>
    <t>이숙경</t>
    <phoneticPr fontId="2" type="noConversion"/>
  </si>
  <si>
    <t>논술</t>
    <phoneticPr fontId="2" type="noConversion"/>
  </si>
  <si>
    <t>양정남</t>
    <phoneticPr fontId="2" type="noConversion"/>
  </si>
  <si>
    <t>황정인</t>
    <phoneticPr fontId="2" type="noConversion"/>
  </si>
  <si>
    <t>영어회화</t>
    <phoneticPr fontId="2" type="noConversion"/>
  </si>
  <si>
    <t>이민경</t>
    <phoneticPr fontId="2" type="noConversion"/>
  </si>
  <si>
    <t>원어민영어</t>
    <phoneticPr fontId="2" type="noConversion"/>
  </si>
  <si>
    <t>K.퍼거슨</t>
    <phoneticPr fontId="2" type="noConversion"/>
  </si>
  <si>
    <t>우상진</t>
    <phoneticPr fontId="2" type="noConversion"/>
  </si>
  <si>
    <t>고등
학생</t>
    <phoneticPr fontId="2" type="noConversion"/>
  </si>
  <si>
    <t>이국진</t>
    <phoneticPr fontId="2" type="noConversion"/>
  </si>
  <si>
    <t>조민기</t>
    <phoneticPr fontId="2" type="noConversion"/>
  </si>
  <si>
    <t>민영화</t>
    <phoneticPr fontId="2" type="noConversion"/>
  </si>
  <si>
    <t>S.제시카</t>
    <phoneticPr fontId="2" type="noConversion"/>
  </si>
  <si>
    <t>이태화</t>
    <phoneticPr fontId="2" type="noConversion"/>
  </si>
  <si>
    <t>일련번호</t>
  </si>
  <si>
    <t>승인번호</t>
  </si>
  <si>
    <t>이용일시</t>
  </si>
  <si>
    <t>가맹점명</t>
  </si>
  <si>
    <t>사용금액</t>
  </si>
  <si>
    <t>신분확인</t>
  </si>
  <si>
    <t>거래구분</t>
  </si>
  <si>
    <t>소득공제</t>
  </si>
  <si>
    <t>마트</t>
  </si>
  <si>
    <t>승인</t>
  </si>
  <si>
    <t>공제</t>
  </si>
  <si>
    <t>경은</t>
  </si>
  <si>
    <t>류트</t>
  </si>
  <si>
    <t>랜드</t>
  </si>
  <si>
    <t>통산</t>
  </si>
  <si>
    <t>융성</t>
  </si>
  <si>
    <t>도장</t>
  </si>
  <si>
    <t>서비스</t>
  </si>
  <si>
    <t>산점</t>
  </si>
  <si>
    <t>항점</t>
  </si>
  <si>
    <t>재단</t>
  </si>
  <si>
    <t>혼수품목 매출 현황</t>
    <phoneticPr fontId="2" type="noConversion"/>
  </si>
  <si>
    <t>(단위:만원)</t>
    <phoneticPr fontId="2" type="noConversion"/>
  </si>
  <si>
    <t>상품명</t>
  </si>
  <si>
    <t>판매액</t>
  </si>
  <si>
    <t>목표액</t>
  </si>
  <si>
    <t>순이익</t>
  </si>
  <si>
    <t>전반기</t>
    <phoneticPr fontId="2" type="noConversion"/>
  </si>
  <si>
    <t>후반기</t>
    <phoneticPr fontId="2" type="noConversion"/>
  </si>
  <si>
    <t>합계</t>
  </si>
  <si>
    <t>가전류</t>
    <phoneticPr fontId="2" type="noConversion"/>
  </si>
  <si>
    <t>TV</t>
  </si>
  <si>
    <t>냉장고</t>
  </si>
  <si>
    <t>세탁기</t>
  </si>
  <si>
    <t>홈시어터</t>
    <phoneticPr fontId="2" type="noConversion"/>
  </si>
  <si>
    <t>김치냉장고</t>
  </si>
  <si>
    <t>식기세척기</t>
  </si>
  <si>
    <t>가구류</t>
    <phoneticPr fontId="2" type="noConversion"/>
  </si>
  <si>
    <t>장롱</t>
    <phoneticPr fontId="2" type="noConversion"/>
  </si>
  <si>
    <t>소파</t>
  </si>
  <si>
    <t>식탁</t>
    <phoneticPr fontId="2" type="noConversion"/>
  </si>
  <si>
    <t>침대</t>
  </si>
  <si>
    <t>순이익율</t>
    <phoneticPr fontId="2" type="noConversion"/>
  </si>
  <si>
    <t>[표1] 지점별 판매 현황(1월)</t>
    <phoneticPr fontId="2" type="noConversion"/>
  </si>
  <si>
    <t>[표2] 지점별 판매 현황(2월)</t>
    <phoneticPr fontId="2" type="noConversion"/>
  </si>
  <si>
    <t>지점</t>
    <phoneticPr fontId="2" type="noConversion"/>
  </si>
  <si>
    <t>매입수량</t>
    <phoneticPr fontId="2" type="noConversion"/>
  </si>
  <si>
    <t>판매수량</t>
    <phoneticPr fontId="2" type="noConversion"/>
  </si>
  <si>
    <t>판매수량</t>
    <phoneticPr fontId="2" type="noConversion"/>
  </si>
  <si>
    <t>판매금액</t>
    <phoneticPr fontId="2" type="noConversion"/>
  </si>
  <si>
    <t>매입수량</t>
    <phoneticPr fontId="2" type="noConversion"/>
  </si>
  <si>
    <t>판매금액</t>
    <phoneticPr fontId="2" type="noConversion"/>
  </si>
  <si>
    <t>북부</t>
    <phoneticPr fontId="2" type="noConversion"/>
  </si>
  <si>
    <t>한남</t>
    <phoneticPr fontId="2" type="noConversion"/>
  </si>
  <si>
    <t>남부</t>
    <phoneticPr fontId="2" type="noConversion"/>
  </si>
  <si>
    <t>성동</t>
    <phoneticPr fontId="2" type="noConversion"/>
  </si>
  <si>
    <t>서부</t>
    <phoneticPr fontId="2" type="noConversion"/>
  </si>
  <si>
    <t>중구</t>
    <phoneticPr fontId="2" type="noConversion"/>
  </si>
  <si>
    <t>중구</t>
    <phoneticPr fontId="2" type="noConversion"/>
  </si>
  <si>
    <t>남부</t>
    <phoneticPr fontId="2" type="noConversion"/>
  </si>
  <si>
    <t>[표3] 지점별 판매 현황(3월)</t>
    <phoneticPr fontId="2" type="noConversion"/>
  </si>
  <si>
    <t>[표4] 1분기 지점별 판매 현황</t>
    <phoneticPr fontId="2" type="noConversion"/>
  </si>
  <si>
    <t>지점</t>
    <phoneticPr fontId="2" type="noConversion"/>
  </si>
  <si>
    <t>[표2]</t>
    <phoneticPr fontId="1" type="noConversion"/>
  </si>
  <si>
    <t>조건1</t>
    <phoneticPr fontId="1" type="noConversion"/>
  </si>
  <si>
    <t>조건2</t>
    <phoneticPr fontId="1" type="noConversion"/>
  </si>
  <si>
    <t>장명수</t>
    <phoneticPr fontId="1" type="noConversion"/>
  </si>
  <si>
    <t>카드</t>
  </si>
  <si>
    <t>쿠폰</t>
  </si>
  <si>
    <t>포인트</t>
  </si>
  <si>
    <t>현금</t>
  </si>
  <si>
    <t>총합계</t>
  </si>
  <si>
    <t>합계 : 가격</t>
  </si>
  <si>
    <t>합계 : 포인트</t>
  </si>
  <si>
    <t>구분</t>
  </si>
  <si>
    <t>실물</t>
  </si>
  <si>
    <t>가상머니</t>
  </si>
  <si>
    <t>실물 요약</t>
  </si>
  <si>
    <t>가상머니 요약</t>
  </si>
  <si>
    <t>합계 : 가격비율</t>
  </si>
  <si>
    <t>값</t>
  </si>
  <si>
    <t>주문순서</t>
  </si>
  <si>
    <t>주문일자</t>
  </si>
  <si>
    <t>주문코드</t>
  </si>
  <si>
    <t>주문수량</t>
  </si>
  <si>
    <t>판매수량</t>
  </si>
  <si>
    <t>가격</t>
  </si>
  <si>
    <t>비고</t>
  </si>
  <si>
    <t>숼드</t>
  </si>
  <si>
    <t>바나나</t>
  </si>
  <si>
    <t>먹구름</t>
  </si>
  <si>
    <t>자석</t>
  </si>
  <si>
    <t>물파리</t>
  </si>
  <si>
    <t>우주선</t>
  </si>
  <si>
    <t>부스터</t>
  </si>
  <si>
    <t>대마왕</t>
  </si>
  <si>
    <t>닥터R</t>
  </si>
  <si>
    <t>전자파</t>
  </si>
  <si>
    <t>사이렌</t>
  </si>
  <si>
    <t>물폭탄</t>
  </si>
  <si>
    <t>미사일</t>
  </si>
  <si>
    <t>북부</t>
  </si>
  <si>
    <t>중구</t>
    <phoneticPr fontId="1" type="noConversion"/>
  </si>
  <si>
    <t>남부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</si>
</sst>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[$-409]mmmmm/yy;@"/>
    <numFmt numFmtId="177" formatCode="0&quot;이&quot;&quot;상&quot;"/>
    <numFmt numFmtId="178" formatCode="#&quot;이&quot;&quot;하&quot;"/>
    <numFmt numFmtId="179" formatCode="dd\-mmm\-yy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0" fillId="0" borderId="0"/>
    <xf numFmtId="0" fontId="13" fillId="0" borderId="0"/>
    <xf numFmtId="41" fontId="5" fillId="0" borderId="0" applyFont="0" applyFill="0" applyBorder="0" applyAlignment="0" applyProtection="0"/>
  </cellStyleXfs>
  <cellXfs count="107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0" fontId="3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0" fontId="11" fillId="0" borderId="1" xfId="5" applyFont="1" applyFill="1" applyBorder="1" applyAlignment="1">
      <alignment horizontal="center" wrapText="1"/>
    </xf>
    <xf numFmtId="1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2" fontId="3" fillId="0" borderId="1" xfId="4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6" fontId="3" fillId="0" borderId="1" xfId="4" applyNumberFormat="1" applyFont="1" applyBorder="1">
      <alignment vertical="center"/>
    </xf>
    <xf numFmtId="0" fontId="6" fillId="0" borderId="0" xfId="1" applyFont="1"/>
    <xf numFmtId="0" fontId="6" fillId="0" borderId="0" xfId="1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42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42" fontId="0" fillId="0" borderId="1" xfId="0" applyNumberFormat="1" applyBorder="1" applyAlignment="1">
      <alignment horizontal="center"/>
    </xf>
    <xf numFmtId="42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/>
    </xf>
    <xf numFmtId="14" fontId="3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5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6" fillId="0" borderId="7" xfId="1" applyFont="1" applyFill="1" applyBorder="1" applyAlignment="1">
      <alignment horizontal="center"/>
    </xf>
    <xf numFmtId="0" fontId="6" fillId="0" borderId="8" xfId="1" applyFont="1" applyFill="1" applyBorder="1" applyAlignment="1"/>
    <xf numFmtId="0" fontId="6" fillId="0" borderId="9" xfId="1" applyFont="1" applyFill="1" applyBorder="1" applyAlignment="1"/>
    <xf numFmtId="0" fontId="6" fillId="0" borderId="10" xfId="1" applyFont="1" applyFill="1" applyBorder="1" applyAlignment="1">
      <alignment wrapText="1"/>
    </xf>
    <xf numFmtId="0" fontId="6" fillId="0" borderId="0" xfId="1" applyFont="1" applyFill="1" applyBorder="1" applyAlignment="1">
      <alignment wrapText="1"/>
    </xf>
    <xf numFmtId="0" fontId="6" fillId="0" borderId="11" xfId="1" applyFont="1" applyFill="1" applyBorder="1" applyAlignment="1">
      <alignment wrapText="1"/>
    </xf>
    <xf numFmtId="0" fontId="6" fillId="0" borderId="12" xfId="1" applyFont="1" applyFill="1" applyBorder="1" applyAlignment="1">
      <alignment wrapText="1"/>
    </xf>
    <xf numFmtId="0" fontId="6" fillId="0" borderId="9" xfId="1" applyFont="1" applyFill="1" applyBorder="1" applyAlignment="1">
      <alignment wrapText="1"/>
    </xf>
    <xf numFmtId="0" fontId="6" fillId="0" borderId="13" xfId="1" applyFont="1" applyFill="1" applyBorder="1" applyAlignment="1">
      <alignment wrapText="1"/>
    </xf>
    <xf numFmtId="0" fontId="6" fillId="0" borderId="14" xfId="1" applyFont="1" applyFill="1" applyBorder="1" applyAlignment="1">
      <alignment wrapText="1"/>
    </xf>
    <xf numFmtId="0" fontId="6" fillId="0" borderId="15" xfId="1" applyFont="1" applyFill="1" applyBorder="1" applyAlignment="1">
      <alignment wrapText="1"/>
    </xf>
    <xf numFmtId="0" fontId="6" fillId="0" borderId="16" xfId="1" applyFont="1" applyFill="1" applyBorder="1" applyAlignment="1">
      <alignment wrapText="1"/>
    </xf>
    <xf numFmtId="0" fontId="6" fillId="0" borderId="17" xfId="1" applyFont="1" applyFill="1" applyBorder="1" applyAlignment="1">
      <alignment wrapText="1"/>
    </xf>
    <xf numFmtId="41" fontId="0" fillId="0" borderId="1" xfId="3" applyFont="1" applyBorder="1" applyAlignment="1">
      <alignment horizontal="center" vertical="center"/>
    </xf>
    <xf numFmtId="0" fontId="12" fillId="6" borderId="1" xfId="6" applyFont="1" applyFill="1" applyBorder="1" applyAlignment="1">
      <alignment horizontal="center"/>
    </xf>
    <xf numFmtId="0" fontId="12" fillId="0" borderId="1" xfId="6" applyFont="1" applyFill="1" applyBorder="1" applyAlignment="1">
      <alignment horizontal="center" wrapText="1"/>
    </xf>
    <xf numFmtId="179" fontId="12" fillId="0" borderId="1" xfId="6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41" fontId="6" fillId="0" borderId="1" xfId="3" applyFont="1" applyBorder="1" applyAlignment="1"/>
    <xf numFmtId="9" fontId="3" fillId="0" borderId="1" xfId="0" applyNumberFormat="1" applyFont="1" applyBorder="1" applyAlignment="1"/>
    <xf numFmtId="0" fontId="17" fillId="0" borderId="0" xfId="1" applyFont="1"/>
    <xf numFmtId="0" fontId="17" fillId="0" borderId="0" xfId="1" applyFont="1" applyAlignment="1">
      <alignment horizontal="center" vertical="center"/>
    </xf>
    <xf numFmtId="0" fontId="17" fillId="0" borderId="1" xfId="1" applyFont="1" applyBorder="1" applyAlignment="1">
      <alignment horizontal="center"/>
    </xf>
    <xf numFmtId="0" fontId="17" fillId="0" borderId="1" xfId="1" applyFont="1" applyBorder="1" applyAlignment="1">
      <alignment horizontal="center" vertical="center"/>
    </xf>
    <xf numFmtId="41" fontId="18" fillId="0" borderId="1" xfId="7" applyFont="1" applyBorder="1" applyAlignment="1">
      <alignment horizontal="center"/>
    </xf>
    <xf numFmtId="0" fontId="17" fillId="0" borderId="20" xfId="1" applyFont="1" applyBorder="1" applyAlignment="1">
      <alignment horizontal="center"/>
    </xf>
    <xf numFmtId="0" fontId="17" fillId="0" borderId="21" xfId="1" applyFont="1" applyBorder="1" applyAlignment="1">
      <alignment horizontal="center" vertical="center"/>
    </xf>
    <xf numFmtId="0" fontId="17" fillId="0" borderId="22" xfId="1" applyFont="1" applyBorder="1" applyAlignment="1">
      <alignment horizontal="center"/>
    </xf>
    <xf numFmtId="0" fontId="17" fillId="0" borderId="23" xfId="1" applyFont="1" applyBorder="1" applyAlignment="1">
      <alignment horizontal="center"/>
    </xf>
    <xf numFmtId="0" fontId="17" fillId="0" borderId="8" xfId="1" applyFont="1" applyBorder="1" applyAlignment="1">
      <alignment horizontal="center"/>
    </xf>
    <xf numFmtId="41" fontId="18" fillId="0" borderId="1" xfId="7" applyNumberFormat="1" applyFont="1" applyBorder="1" applyAlignment="1">
      <alignment horizontal="center"/>
    </xf>
    <xf numFmtId="41" fontId="18" fillId="0" borderId="9" xfId="7" applyNumberFormat="1" applyFont="1" applyBorder="1" applyAlignment="1">
      <alignment horizontal="center"/>
    </xf>
    <xf numFmtId="0" fontId="17" fillId="0" borderId="24" xfId="1" applyFont="1" applyBorder="1" applyAlignment="1">
      <alignment horizontal="center"/>
    </xf>
    <xf numFmtId="41" fontId="18" fillId="0" borderId="25" xfId="7" applyNumberFormat="1" applyFont="1" applyBorder="1" applyAlignment="1">
      <alignment horizontal="center"/>
    </xf>
    <xf numFmtId="41" fontId="18" fillId="0" borderId="14" xfId="7" applyNumberFormat="1" applyFont="1" applyBorder="1" applyAlignment="1">
      <alignment horizontal="center"/>
    </xf>
    <xf numFmtId="41" fontId="17" fillId="0" borderId="0" xfId="1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vertical="center" textRotation="255"/>
    </xf>
    <xf numFmtId="0" fontId="3" fillId="0" borderId="1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2" fillId="6" borderId="1" xfId="6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1" xfId="6" applyFont="1" applyFill="1" applyBorder="1" applyAlignment="1" applyProtection="1">
      <alignment horizontal="center" wrapText="1"/>
      <protection locked="0"/>
    </xf>
    <xf numFmtId="179" fontId="12" fillId="0" borderId="1" xfId="6" applyNumberFormat="1" applyFont="1" applyFill="1" applyBorder="1" applyAlignment="1" applyProtection="1">
      <alignment horizontal="center" wrapText="1"/>
      <protection locked="0"/>
    </xf>
    <xf numFmtId="0" fontId="12" fillId="0" borderId="1" xfId="6" applyFont="1" applyFill="1" applyBorder="1" applyAlignment="1" applyProtection="1">
      <alignment horizont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8">
    <cellStyle name="백분율 2" xfId="2" xr:uid="{00000000-0005-0000-0000-000000000000}"/>
    <cellStyle name="쉼표 [0]" xfId="3" builtinId="6"/>
    <cellStyle name="쉼표 [0] 2" xfId="7" xr:uid="{00000000-0005-0000-0000-000002000000}"/>
    <cellStyle name="통화 [0]" xfId="4" builtinId="7"/>
    <cellStyle name="표준" xfId="0" builtinId="0"/>
    <cellStyle name="표준 2" xfId="1" xr:uid="{00000000-0005-0000-0000-000005000000}"/>
    <cellStyle name="표준_계산작업" xfId="5" xr:uid="{00000000-0005-0000-0000-000006000000}"/>
    <cellStyle name="표준_기본작업-3" xfId="6" xr:uid="{00000000-0005-0000-0000-000007000000}"/>
  </cellStyles>
  <dxfs count="5"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numFmt numFmtId="19" formatCode="yyyy/mm/dd"/>
    </dxf>
    <dxf>
      <font>
        <color theme="3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</c:strCache>
            </c:strRef>
          </c:tx>
          <c:invertIfNegative val="0"/>
          <c:cat>
            <c:strRef>
              <c:f>'기타작업-1'!$B$3:$B$10</c:f>
              <c:strCache>
                <c:ptCount val="5"/>
                <c:pt idx="0">
                  <c:v>요소</c:v>
                </c:pt>
                <c:pt idx="1">
                  <c:v>평균온도(℃)</c:v>
                </c:pt>
                <c:pt idx="2">
                  <c:v>지중온도</c:v>
                </c:pt>
                <c:pt idx="3">
                  <c:v>[4회 평균]</c:v>
                </c:pt>
                <c:pt idx="4">
                  <c:v>(℃)</c:v>
                </c:pt>
              </c:strCache>
            </c:strRef>
          </c:cat>
          <c:val>
            <c:numRef>
              <c:f>'기타작업-1'!$E$3:$E$10</c:f>
              <c:numCache>
                <c:formatCode>General</c:formatCode>
                <c:ptCount val="8"/>
                <c:pt idx="0">
                  <c:v>0</c:v>
                </c:pt>
                <c:pt idx="1">
                  <c:v>-3.4</c:v>
                </c:pt>
                <c:pt idx="2">
                  <c:v>-3.9</c:v>
                </c:pt>
                <c:pt idx="3">
                  <c:v>-1.9</c:v>
                </c:pt>
                <c:pt idx="4">
                  <c:v>-1.2</c:v>
                </c:pt>
                <c:pt idx="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4-4752-84E4-1143A28E8C81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</c:strCache>
            </c:strRef>
          </c:tx>
          <c:invertIfNegative val="0"/>
          <c:cat>
            <c:strRef>
              <c:f>'기타작업-1'!$B$3:$B$10</c:f>
              <c:strCache>
                <c:ptCount val="5"/>
                <c:pt idx="0">
                  <c:v>요소</c:v>
                </c:pt>
                <c:pt idx="1">
                  <c:v>평균온도(℃)</c:v>
                </c:pt>
                <c:pt idx="2">
                  <c:v>지중온도</c:v>
                </c:pt>
                <c:pt idx="3">
                  <c:v>[4회 평균]</c:v>
                </c:pt>
                <c:pt idx="4">
                  <c:v>(℃)</c:v>
                </c:pt>
              </c:strCache>
            </c:strRef>
          </c:cat>
          <c:val>
            <c:numRef>
              <c:f>'기타작업-1'!$D$3:$D$10</c:f>
              <c:numCache>
                <c:formatCode>General</c:formatCode>
                <c:ptCount val="8"/>
                <c:pt idx="0">
                  <c:v>0</c:v>
                </c:pt>
                <c:pt idx="1">
                  <c:v>-5.9</c:v>
                </c:pt>
                <c:pt idx="2">
                  <c:v>-4.7</c:v>
                </c:pt>
                <c:pt idx="3">
                  <c:v>-2.4</c:v>
                </c:pt>
                <c:pt idx="4">
                  <c:v>-0.9</c:v>
                </c:pt>
                <c:pt idx="5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24-4752-84E4-1143A28E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753280"/>
        <c:axId val="144007744"/>
      </c:barChart>
      <c:catAx>
        <c:axId val="142753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4007744"/>
        <c:crosses val="autoZero"/>
        <c:auto val="1"/>
        <c:lblAlgn val="ctr"/>
        <c:lblOffset val="100"/>
        <c:noMultiLvlLbl val="0"/>
      </c:catAx>
      <c:valAx>
        <c:axId val="14400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753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지중온도와 평균온도의 비교</a:t>
            </a:r>
            <a:endParaRPr lang="en-US" altLang="ko-KR"/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rgbClr val="FFFF00"/>
        </a:solidFill>
      </c:spPr>
    </c:sideWall>
    <c:backWall>
      <c:thickness val="0"/>
      <c:spPr>
        <a:solidFill>
          <a:srgbClr val="FFFF00"/>
        </a:solidFill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평균온도</c:v>
          </c:tx>
          <c:invertIfNegative val="0"/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43-4658-A948-9DA03B71EEE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-5.9</c:v>
              </c:pt>
              <c:pt idx="1">
                <c:v>-3.4</c:v>
              </c:pt>
              <c:pt idx="2">
                <c:v>0.9</c:v>
              </c:pt>
              <c:pt idx="3">
                <c:v>-0.3</c:v>
              </c:pt>
              <c:pt idx="4">
                <c:v>1.6</c:v>
              </c:pt>
              <c:pt idx="5">
                <c:v>4.0999999999999996</c:v>
              </c:pt>
              <c:pt idx="6">
                <c:v>2.8</c:v>
              </c:pt>
              <c:pt idx="7">
                <c:v>1.8</c:v>
              </c:pt>
              <c:pt idx="8">
                <c:v>0.9</c:v>
              </c:pt>
              <c:pt idx="9">
                <c:v>0.1</c:v>
              </c:pt>
            </c:numLit>
          </c:val>
          <c:extLst>
            <c:ext xmlns:c16="http://schemas.microsoft.com/office/drawing/2014/chart" uri="{C3380CC4-5D6E-409C-BE32-E72D297353CC}">
              <c16:uniqueId val="{00000000-5784-4544-9C3A-82EDD8A2C919}"/>
            </c:ext>
          </c:extLst>
        </c:ser>
        <c:ser>
          <c:idx val="1"/>
          <c:order val="1"/>
          <c:tx>
            <c:v>지면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-4.7</c:v>
              </c:pt>
              <c:pt idx="1">
                <c:v>-3.9</c:v>
              </c:pt>
              <c:pt idx="2">
                <c:v>-0.9</c:v>
              </c:pt>
              <c:pt idx="3">
                <c:v>-1.9</c:v>
              </c:pt>
              <c:pt idx="4">
                <c:v>-1</c:v>
              </c:pt>
              <c:pt idx="5">
                <c:v>0.7</c:v>
              </c:pt>
              <c:pt idx="6">
                <c:v>0.9</c:v>
              </c:pt>
              <c:pt idx="7">
                <c:v>0</c:v>
              </c:pt>
              <c:pt idx="8">
                <c:v>-0.2</c:v>
              </c:pt>
              <c:pt idx="9">
                <c:v>-0.8</c:v>
              </c:pt>
            </c:numLit>
          </c:val>
          <c:extLst>
            <c:ext xmlns:c16="http://schemas.microsoft.com/office/drawing/2014/chart" uri="{C3380CC4-5D6E-409C-BE32-E72D297353CC}">
              <c16:uniqueId val="{00000001-5784-4544-9C3A-82EDD8A2C919}"/>
            </c:ext>
          </c:extLst>
        </c:ser>
        <c:ser>
          <c:idx val="2"/>
          <c:order val="2"/>
          <c:tx>
            <c:v>5cm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-2.4</c:v>
              </c:pt>
              <c:pt idx="1">
                <c:v>-1.9</c:v>
              </c:pt>
              <c:pt idx="2">
                <c:v>-0.7</c:v>
              </c:pt>
              <c:pt idx="3">
                <c:v>-1.1000000000000001</c:v>
              </c:pt>
              <c:pt idx="4">
                <c:v>-0.9</c:v>
              </c:pt>
              <c:pt idx="5">
                <c:v>-0.2</c:v>
              </c:pt>
              <c:pt idx="6">
                <c:v>0</c:v>
              </c:pt>
              <c:pt idx="7">
                <c:v>-0.1</c:v>
              </c:pt>
              <c:pt idx="8">
                <c:v>-0.1</c:v>
              </c:pt>
              <c:pt idx="9">
                <c:v>-0.2</c:v>
              </c:pt>
            </c:numLit>
          </c:val>
          <c:extLst>
            <c:ext xmlns:c16="http://schemas.microsoft.com/office/drawing/2014/chart" uri="{C3380CC4-5D6E-409C-BE32-E72D297353CC}">
              <c16:uniqueId val="{00000002-5784-4544-9C3A-82EDD8A2C919}"/>
            </c:ext>
          </c:extLst>
        </c:ser>
        <c:ser>
          <c:idx val="3"/>
          <c:order val="3"/>
          <c:tx>
            <c:v>10cm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-0.9</c:v>
              </c:pt>
              <c:pt idx="1">
                <c:v>-1.2</c:v>
              </c:pt>
              <c:pt idx="2">
                <c:v>-0.6</c:v>
              </c:pt>
              <c:pt idx="3">
                <c:v>-0.8</c:v>
              </c:pt>
              <c:pt idx="4">
                <c:v>-0.6</c:v>
              </c:pt>
              <c:pt idx="5">
                <c:v>-0.5</c:v>
              </c:pt>
              <c:pt idx="6">
                <c:v>-0.5</c:v>
              </c:pt>
              <c:pt idx="7">
                <c:v>-0.3</c:v>
              </c:pt>
              <c:pt idx="8">
                <c:v>-0.4</c:v>
              </c:pt>
              <c:pt idx="9">
                <c:v>-0.3</c:v>
              </c:pt>
            </c:numLit>
          </c:val>
          <c:extLst>
            <c:ext xmlns:c16="http://schemas.microsoft.com/office/drawing/2014/chart" uri="{C3380CC4-5D6E-409C-BE32-E72D297353CC}">
              <c16:uniqueId val="{00000003-5784-4544-9C3A-82EDD8A2C919}"/>
            </c:ext>
          </c:extLst>
        </c:ser>
        <c:ser>
          <c:idx val="4"/>
          <c:order val="4"/>
          <c:tx>
            <c:v>30cm</c:v>
          </c:tx>
          <c:invertIfNegative val="0"/>
          <c:cat>
            <c:strLit>
              <c:ptCount val="10"/>
              <c:pt idx="0">
                <c:v>1일</c:v>
              </c:pt>
              <c:pt idx="1">
                <c:v>2일</c:v>
              </c:pt>
              <c:pt idx="2">
                <c:v>3일</c:v>
              </c:pt>
              <c:pt idx="3">
                <c:v>4일</c:v>
              </c:pt>
              <c:pt idx="4">
                <c:v>5일</c:v>
              </c:pt>
              <c:pt idx="5">
                <c:v>6일</c:v>
              </c:pt>
              <c:pt idx="6">
                <c:v>7일</c:v>
              </c:pt>
              <c:pt idx="7">
                <c:v>8일</c:v>
              </c:pt>
              <c:pt idx="8">
                <c:v>9일</c:v>
              </c:pt>
              <c:pt idx="9">
                <c:v>10일</c:v>
              </c:pt>
            </c:strLit>
          </c:cat>
          <c:val>
            <c:numLit>
              <c:formatCode>General</c:formatCode>
              <c:ptCount val="10"/>
              <c:pt idx="0">
                <c:v>1.6</c:v>
              </c:pt>
              <c:pt idx="1">
                <c:v>1.1000000000000001</c:v>
              </c:pt>
              <c:pt idx="2">
                <c:v>1.1000000000000001</c:v>
              </c:pt>
              <c:pt idx="3">
                <c:v>0.9</c:v>
              </c:pt>
              <c:pt idx="4">
                <c:v>0.9</c:v>
              </c:pt>
              <c:pt idx="5">
                <c:v>0.9</c:v>
              </c:pt>
              <c:pt idx="6">
                <c:v>0.9</c:v>
              </c:pt>
              <c:pt idx="7">
                <c:v>0.9</c:v>
              </c:pt>
              <c:pt idx="8">
                <c:v>1</c:v>
              </c:pt>
              <c:pt idx="9">
                <c:v>1.1000000000000001</c:v>
              </c:pt>
            </c:numLit>
          </c:val>
          <c:extLst>
            <c:ext xmlns:c16="http://schemas.microsoft.com/office/drawing/2014/chart" uri="{C3380CC4-5D6E-409C-BE32-E72D297353CC}">
              <c16:uniqueId val="{00000004-5784-4544-9C3A-82EDD8A2C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130"/>
        <c:shape val="box"/>
        <c:axId val="144565760"/>
        <c:axId val="144010048"/>
        <c:axId val="0"/>
      </c:bar3DChart>
      <c:catAx>
        <c:axId val="144565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4010048"/>
        <c:crosses val="autoZero"/>
        <c:auto val="1"/>
        <c:lblAlgn val="ctr"/>
        <c:lblOffset val="100"/>
        <c:noMultiLvlLbl val="0"/>
      </c:catAx>
      <c:valAx>
        <c:axId val="144010048"/>
        <c:scaling>
          <c:orientation val="minMax"/>
          <c:max val="5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565760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11</xdr:row>
      <xdr:rowOff>38099</xdr:rowOff>
    </xdr:from>
    <xdr:to>
      <xdr:col>7</xdr:col>
      <xdr:colOff>0</xdr:colOff>
      <xdr:row>26</xdr:row>
      <xdr:rowOff>47624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10</xdr:row>
      <xdr:rowOff>9525</xdr:rowOff>
    </xdr:from>
    <xdr:to>
      <xdr:col>13</xdr:col>
      <xdr:colOff>0</xdr:colOff>
      <xdr:row>29</xdr:row>
      <xdr:rowOff>190501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0.30762</cdr:x>
      <cdr:y>0</cdr:y>
    </cdr:from>
    <cdr:to>
      <cdr:x>0.6843</cdr:x>
      <cdr:y>0.13397</cdr:y>
    </cdr:to>
    <cdr:sp macro="" textlink="">
      <cdr:nvSpPr>
        <cdr:cNvPr id="2" name="물결 1">
          <a:extLst xmlns:a="http://schemas.openxmlformats.org/drawingml/2006/main">
            <a:ext uri="{FF2B5EF4-FFF2-40B4-BE49-F238E27FC236}">
              <a16:creationId xmlns:a16="http://schemas.microsoft.com/office/drawing/2014/main" id="{A85F8F91-888F-4D69-AE90-D9180E800353}"/>
            </a:ext>
          </a:extLst>
        </cdr:cNvPr>
        <cdr:cNvSpPr/>
      </cdr:nvSpPr>
      <cdr:spPr>
        <a:xfrm xmlns:a="http://schemas.openxmlformats.org/drawingml/2006/main">
          <a:off x="2613660" y="-9525"/>
          <a:ext cx="3200400" cy="586740"/>
        </a:xfrm>
        <a:prstGeom xmlns:a="http://schemas.openxmlformats.org/drawingml/2006/main" prst="wave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  <cdr:relSizeAnchor xmlns:cdr="http://schemas.openxmlformats.org/drawingml/2006/chartDrawing">
    <cdr:from>
      <cdr:x>0.75516</cdr:x>
      <cdr:y>0.04306</cdr:y>
    </cdr:from>
    <cdr:to>
      <cdr:x>0.95336</cdr:x>
      <cdr:y>0.25533</cdr:y>
    </cdr:to>
    <cdr:sp macro="" textlink="">
      <cdr:nvSpPr>
        <cdr:cNvPr id="3" name="설명선: 선 2">
          <a:extLst xmlns:a="http://schemas.openxmlformats.org/drawingml/2006/main">
            <a:ext uri="{FF2B5EF4-FFF2-40B4-BE49-F238E27FC236}">
              <a16:creationId xmlns:a16="http://schemas.microsoft.com/office/drawing/2014/main" id="{B8FDDF17-AFF6-4AD3-A8EA-111767F2F693}"/>
            </a:ext>
          </a:extLst>
        </cdr:cNvPr>
        <cdr:cNvSpPr/>
      </cdr:nvSpPr>
      <cdr:spPr>
        <a:xfrm xmlns:a="http://schemas.openxmlformats.org/drawingml/2006/main">
          <a:off x="6416040" y="188595"/>
          <a:ext cx="1684020" cy="929640"/>
        </a:xfrm>
        <a:prstGeom xmlns:a="http://schemas.openxmlformats.org/drawingml/2006/main" prst="borderCallout1">
          <a:avLst>
            <a:gd name="adj1" fmla="val 49898"/>
            <a:gd name="adj2" fmla="val -6523"/>
            <a:gd name="adj3" fmla="val 110041"/>
            <a:gd name="adj4" fmla="val -125211"/>
          </a:avLst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ko-KR" altLang="en-US"/>
            <a:t>최고치</a:t>
          </a:r>
          <a:endParaRPr lang="ko-KR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18</xdr:row>
          <xdr:rowOff>15240</xdr:rowOff>
        </xdr:from>
        <xdr:to>
          <xdr:col>3</xdr:col>
          <xdr:colOff>769620</xdr:colOff>
          <xdr:row>20</xdr:row>
          <xdr:rowOff>15240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변동추이분석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고유값구분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0</xdr:row>
          <xdr:rowOff>144780</xdr:rowOff>
        </xdr:from>
        <xdr:to>
          <xdr:col>7</xdr:col>
          <xdr:colOff>198120</xdr:colOff>
          <xdr:row>2</xdr:row>
          <xdr:rowOff>99060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82109" refreshedDate="44489.658270254629" backgroundQuery="1" createdVersion="7" refreshedVersion="7" minRefreshableVersion="3" recordCount="31" xr:uid="{1B2D164A-425B-4273-A310-A20D46D77511}">
  <cacheSource type="external" connectionId="1"/>
  <cacheFields count="12">
    <cacheField name="주문순서" numFmtId="0" sqlType="4">
      <sharedItems containsSemiMixedTypes="0" containsString="0" containsNumber="1" containsInteger="1" minValue="1" maxValue="31"/>
    </cacheField>
    <cacheField name="주문일자" numFmtId="0" sqlType="11">
      <sharedItems containsSemiMixedTypes="0" containsNonDate="0" containsDate="1" containsString="0" minDate="2008-01-01T00:00:00" maxDate="2008-01-27T00:00:00" count="10">
        <d v="2008-01-01T00:00:00"/>
        <d v="2008-01-03T00:00:00"/>
        <d v="2008-01-04T00:00:00"/>
        <d v="2008-01-10T00:00:00"/>
        <d v="2008-01-11T00:00:00"/>
        <d v="2008-01-15T00:00:00"/>
        <d v="2008-01-18T00:00:00"/>
        <d v="2008-01-20T00:00:00"/>
        <d v="2008-01-25T00:00:00"/>
        <d v="2008-01-26T00:00:00"/>
      </sharedItems>
    </cacheField>
    <cacheField name="주문코드" numFmtId="0" sqlType="4">
      <sharedItems containsSemiMixedTypes="0" containsString="0" containsNumber="1" containsInteger="1" minValue="27904896" maxValue="55555555" count="12">
        <n v="27904896"/>
        <n v="28999990"/>
        <n v="33900000"/>
        <n v="35009820"/>
        <n v="55555555"/>
        <n v="36897682"/>
        <n v="55555550"/>
        <n v="38983780"/>
        <n v="55555005"/>
        <n v="39000000"/>
        <n v="39978390"/>
        <n v="40030000"/>
      </sharedItems>
    </cacheField>
    <cacheField name="거래구분" numFmtId="0" sqlType="-9">
      <sharedItems count="4">
        <s v="카드"/>
        <s v="현금"/>
        <s v="쿠폰"/>
        <s v="포인트"/>
      </sharedItems>
      <fieldGroup par="10"/>
    </cacheField>
    <cacheField name="상품명" numFmtId="0" sqlType="-9">
      <sharedItems count="14">
        <s v="숼드"/>
        <s v="바나나"/>
        <s v="먹구름"/>
        <s v="미사일"/>
        <s v="부스터"/>
        <s v="물파리"/>
        <s v="물폭탄"/>
        <s v="자석"/>
        <s v="우주선"/>
        <s v="대마왕"/>
        <s v="닥터R"/>
        <s v="전자파"/>
        <s v="사이렌"/>
        <s v="대마악"/>
      </sharedItems>
    </cacheField>
    <cacheField name="주문수량" numFmtId="0" sqlType="4">
      <sharedItems containsSemiMixedTypes="0" containsString="0" containsNumber="1" containsInteger="1" minValue="1" maxValue="100" count="9">
        <n v="1"/>
        <n v="5"/>
        <n v="100"/>
        <n v="10"/>
        <n v="2"/>
        <n v="50"/>
        <n v="20"/>
        <n v="15"/>
        <n v="40"/>
      </sharedItems>
    </cacheField>
    <cacheField name="판매수량" numFmtId="0" sqlType="4">
      <sharedItems containsSemiMixedTypes="0" containsString="0" containsNumber="1" containsInteger="1" minValue="0" maxValue="100" count="10">
        <n v="1"/>
        <n v="5"/>
        <n v="100"/>
        <n v="10"/>
        <n v="0"/>
        <n v="2"/>
        <n v="50"/>
        <n v="20"/>
        <n v="15"/>
        <n v="40"/>
      </sharedItems>
    </cacheField>
    <cacheField name="가격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  <cacheField name="비고" numFmtId="0" sqlType="-9">
      <sharedItems containsString="0" containsBlank="1" count="1">
        <m/>
      </sharedItems>
    </cacheField>
    <cacheField name="거래구분2" numFmtId="0" databaseField="0">
      <fieldGroup base="3">
        <discretePr count="4">
          <x v="0"/>
          <x v="0"/>
          <x v="1"/>
          <x v="1"/>
        </discretePr>
        <groupItems count="2">
          <s v="그룹1"/>
          <s v="그룹2"/>
        </groupItems>
      </fieldGroup>
    </cacheField>
    <cacheField name="가격비율" numFmtId="0" formula="가격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n v="1"/>
    <x v="0"/>
    <x v="0"/>
    <x v="0"/>
    <x v="0"/>
    <x v="0"/>
    <x v="0"/>
    <x v="0"/>
    <x v="0"/>
    <x v="0"/>
  </r>
  <r>
    <n v="2"/>
    <x v="0"/>
    <x v="0"/>
    <x v="0"/>
    <x v="1"/>
    <x v="0"/>
    <x v="0"/>
    <x v="1"/>
    <x v="1"/>
    <x v="0"/>
  </r>
  <r>
    <n v="3"/>
    <x v="0"/>
    <x v="0"/>
    <x v="0"/>
    <x v="2"/>
    <x v="0"/>
    <x v="0"/>
    <x v="2"/>
    <x v="2"/>
    <x v="0"/>
  </r>
  <r>
    <n v="4"/>
    <x v="1"/>
    <x v="1"/>
    <x v="1"/>
    <x v="3"/>
    <x v="1"/>
    <x v="1"/>
    <x v="3"/>
    <x v="3"/>
    <x v="0"/>
  </r>
  <r>
    <n v="5"/>
    <x v="1"/>
    <x v="1"/>
    <x v="1"/>
    <x v="4"/>
    <x v="2"/>
    <x v="2"/>
    <x v="4"/>
    <x v="4"/>
    <x v="0"/>
  </r>
  <r>
    <n v="6"/>
    <x v="1"/>
    <x v="1"/>
    <x v="1"/>
    <x v="5"/>
    <x v="3"/>
    <x v="3"/>
    <x v="5"/>
    <x v="5"/>
    <x v="0"/>
  </r>
  <r>
    <n v="7"/>
    <x v="1"/>
    <x v="1"/>
    <x v="1"/>
    <x v="6"/>
    <x v="1"/>
    <x v="1"/>
    <x v="6"/>
    <x v="6"/>
    <x v="0"/>
  </r>
  <r>
    <n v="8"/>
    <x v="1"/>
    <x v="1"/>
    <x v="1"/>
    <x v="7"/>
    <x v="1"/>
    <x v="1"/>
    <x v="5"/>
    <x v="5"/>
    <x v="0"/>
  </r>
  <r>
    <n v="9"/>
    <x v="2"/>
    <x v="2"/>
    <x v="0"/>
    <x v="8"/>
    <x v="0"/>
    <x v="0"/>
    <x v="7"/>
    <x v="7"/>
    <x v="0"/>
  </r>
  <r>
    <n v="10"/>
    <x v="2"/>
    <x v="2"/>
    <x v="0"/>
    <x v="9"/>
    <x v="0"/>
    <x v="0"/>
    <x v="8"/>
    <x v="0"/>
    <x v="0"/>
  </r>
  <r>
    <n v="11"/>
    <x v="3"/>
    <x v="3"/>
    <x v="0"/>
    <x v="10"/>
    <x v="0"/>
    <x v="4"/>
    <x v="9"/>
    <x v="8"/>
    <x v="0"/>
  </r>
  <r>
    <n v="12"/>
    <x v="3"/>
    <x v="3"/>
    <x v="0"/>
    <x v="11"/>
    <x v="4"/>
    <x v="5"/>
    <x v="10"/>
    <x v="9"/>
    <x v="0"/>
  </r>
  <r>
    <n v="13"/>
    <x v="3"/>
    <x v="3"/>
    <x v="0"/>
    <x v="12"/>
    <x v="1"/>
    <x v="1"/>
    <x v="3"/>
    <x v="3"/>
    <x v="0"/>
  </r>
  <r>
    <n v="14"/>
    <x v="4"/>
    <x v="4"/>
    <x v="2"/>
    <x v="5"/>
    <x v="5"/>
    <x v="6"/>
    <x v="9"/>
    <x v="8"/>
    <x v="0"/>
  </r>
  <r>
    <n v="15"/>
    <x v="5"/>
    <x v="5"/>
    <x v="1"/>
    <x v="1"/>
    <x v="3"/>
    <x v="3"/>
    <x v="11"/>
    <x v="5"/>
    <x v="0"/>
  </r>
  <r>
    <n v="16"/>
    <x v="5"/>
    <x v="5"/>
    <x v="1"/>
    <x v="7"/>
    <x v="3"/>
    <x v="3"/>
    <x v="12"/>
    <x v="10"/>
    <x v="0"/>
  </r>
  <r>
    <n v="17"/>
    <x v="5"/>
    <x v="5"/>
    <x v="1"/>
    <x v="8"/>
    <x v="1"/>
    <x v="1"/>
    <x v="13"/>
    <x v="11"/>
    <x v="0"/>
  </r>
  <r>
    <n v="18"/>
    <x v="5"/>
    <x v="6"/>
    <x v="2"/>
    <x v="2"/>
    <x v="3"/>
    <x v="3"/>
    <x v="4"/>
    <x v="8"/>
    <x v="0"/>
  </r>
  <r>
    <n v="19"/>
    <x v="6"/>
    <x v="7"/>
    <x v="0"/>
    <x v="3"/>
    <x v="1"/>
    <x v="1"/>
    <x v="4"/>
    <x v="3"/>
    <x v="0"/>
  </r>
  <r>
    <n v="20"/>
    <x v="6"/>
    <x v="7"/>
    <x v="0"/>
    <x v="4"/>
    <x v="3"/>
    <x v="3"/>
    <x v="4"/>
    <x v="3"/>
    <x v="0"/>
  </r>
  <r>
    <n v="21"/>
    <x v="6"/>
    <x v="8"/>
    <x v="3"/>
    <x v="5"/>
    <x v="5"/>
    <x v="6"/>
    <x v="9"/>
    <x v="12"/>
    <x v="0"/>
  </r>
  <r>
    <n v="22"/>
    <x v="6"/>
    <x v="7"/>
    <x v="0"/>
    <x v="6"/>
    <x v="6"/>
    <x v="7"/>
    <x v="12"/>
    <x v="10"/>
    <x v="0"/>
  </r>
  <r>
    <n v="23"/>
    <x v="7"/>
    <x v="9"/>
    <x v="1"/>
    <x v="7"/>
    <x v="7"/>
    <x v="8"/>
    <x v="14"/>
    <x v="13"/>
    <x v="0"/>
  </r>
  <r>
    <n v="24"/>
    <x v="7"/>
    <x v="9"/>
    <x v="1"/>
    <x v="1"/>
    <x v="0"/>
    <x v="0"/>
    <x v="1"/>
    <x v="1"/>
    <x v="0"/>
  </r>
  <r>
    <n v="25"/>
    <x v="7"/>
    <x v="9"/>
    <x v="1"/>
    <x v="4"/>
    <x v="3"/>
    <x v="3"/>
    <x v="4"/>
    <x v="3"/>
    <x v="0"/>
  </r>
  <r>
    <n v="26"/>
    <x v="8"/>
    <x v="10"/>
    <x v="0"/>
    <x v="4"/>
    <x v="3"/>
    <x v="3"/>
    <x v="4"/>
    <x v="3"/>
    <x v="0"/>
  </r>
  <r>
    <n v="27"/>
    <x v="8"/>
    <x v="10"/>
    <x v="0"/>
    <x v="2"/>
    <x v="0"/>
    <x v="0"/>
    <x v="2"/>
    <x v="2"/>
    <x v="0"/>
  </r>
  <r>
    <n v="28"/>
    <x v="8"/>
    <x v="10"/>
    <x v="0"/>
    <x v="8"/>
    <x v="0"/>
    <x v="0"/>
    <x v="7"/>
    <x v="7"/>
    <x v="0"/>
  </r>
  <r>
    <n v="29"/>
    <x v="8"/>
    <x v="10"/>
    <x v="0"/>
    <x v="5"/>
    <x v="8"/>
    <x v="9"/>
    <x v="15"/>
    <x v="14"/>
    <x v="0"/>
  </r>
  <r>
    <n v="30"/>
    <x v="8"/>
    <x v="10"/>
    <x v="0"/>
    <x v="7"/>
    <x v="1"/>
    <x v="1"/>
    <x v="5"/>
    <x v="5"/>
    <x v="0"/>
  </r>
  <r>
    <n v="31"/>
    <x v="9"/>
    <x v="11"/>
    <x v="1"/>
    <x v="13"/>
    <x v="0"/>
    <x v="4"/>
    <x v="9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E6423-3FAE-408E-84EA-9F04CEC20236}" name="피벗 테이블1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3:F13" firstHeaderRow="1" firstDataRow="2" firstDataCol="2"/>
  <pivotFields count="12">
    <pivotField compact="0" subtotalTop="0" showAll="0"/>
    <pivotField compact="0" subtotalTop="0" showAll="0"/>
    <pivotField compact="0" subtotalTop="0" showAll="0"/>
    <pivotField axis="axisRow" compact="0" subtotalTop="0" showAll="0">
      <items count="5">
        <item x="0"/>
        <item x="2"/>
        <item x="3"/>
        <item x="1"/>
        <item t="default"/>
      </items>
    </pivotField>
    <pivotField compact="0" subtotalTop="0" showAll="0"/>
    <pivotField compact="0" subtotalTop="0" showAll="0"/>
    <pivotField compact="0" subtotalTop="0" showAll="0"/>
    <pivotField dataField="1" compact="0" subtotalTop="0" showAll="0">
      <items count="17">
        <item x="9"/>
        <item x="10"/>
        <item x="8"/>
        <item x="2"/>
        <item x="1"/>
        <item x="0"/>
        <item x="7"/>
        <item x="3"/>
        <item x="6"/>
        <item x="5"/>
        <item x="15"/>
        <item x="4"/>
        <item x="11"/>
        <item x="13"/>
        <item x="12"/>
        <item x="14"/>
        <item t="default"/>
      </items>
    </pivotField>
    <pivotField dataField="1" compact="0" subtotalTop="0" showAll="0"/>
    <pivotField compact="0" subtotalTop="0" showAll="0"/>
    <pivotField name="구분" axis="axisRow" compact="0" subtotalTop="0" showAll="0">
      <items count="3">
        <item n="실물" x="0"/>
        <item n="가상머니" x="1"/>
        <item t="default"/>
      </items>
    </pivotField>
    <pivotField dataField="1" compact="0" subtotalTop="0" dragToRow="0" dragToCol="0" dragToPage="0" showAll="0"/>
  </pivotFields>
  <rowFields count="2">
    <field x="10"/>
    <field x="3"/>
  </rowFields>
  <rowItems count="9">
    <i>
      <x/>
    </i>
    <i r="1">
      <x/>
    </i>
    <i r="1">
      <x v="3"/>
    </i>
    <i t="default">
      <x/>
    </i>
    <i>
      <x v="1"/>
    </i>
    <i r="1">
      <x v="1"/>
    </i>
    <i r="1">
      <x v="2"/>
    </i>
    <i t="default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가격" fld="7" baseField="0" baseItem="0"/>
    <dataField name="합계 : 포인트" fld="8" baseField="0" baseItem="0"/>
    <dataField name="합계 : 가격비율" fld="11" showDataAs="percentOfTotal" baseField="3" baseItem="1" numFmtId="10"/>
  </dataFields>
  <pivotTableStyleInfo name="PivotStyleMedium3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66C6F0-3045-4CAE-84BD-C10658BABDB6}" name="표1" displayName="표1" ref="A1:J17" totalsRowShown="0">
  <autoFilter ref="A1:J17" xr:uid="{0B66C6F0-3045-4CAE-84BD-C10658BABDB6}"/>
  <tableColumns count="10">
    <tableColumn id="1" xr3:uid="{E550090E-D415-4686-9384-4C8A477E02F8}" name="주문순서"/>
    <tableColumn id="2" xr3:uid="{714B1E43-08FA-401F-A17C-6827C0BA0EB6}" name="주문일자" dataDxfId="3"/>
    <tableColumn id="3" xr3:uid="{31720804-6F75-4F6E-9139-8BB95361C574}" name="주문코드"/>
    <tableColumn id="4" xr3:uid="{3FEE63EC-E155-41A1-A333-5CF089FF9CB0}" name="거래구분"/>
    <tableColumn id="5" xr3:uid="{5E353C94-069A-4975-8453-E23162429EAD}" name="상품명"/>
    <tableColumn id="6" xr3:uid="{30BBF2AE-B18A-4C46-9C67-1FA5798C98A0}" name="주문수량"/>
    <tableColumn id="7" xr3:uid="{93319833-223C-4987-9EDA-5DE8649FFEB3}" name="판매수량"/>
    <tableColumn id="8" xr3:uid="{7AB45B9C-0BA3-4D75-8DC0-EFD9C9412D03}" name="가격"/>
    <tableColumn id="9" xr3:uid="{E73A0457-5B2D-4802-9338-34E1BEC428D0}" name="포인트"/>
    <tableColumn id="10" xr3:uid="{56BAD2E3-1DE2-4314-A471-130B5657999A}" name="비고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M44"/>
  <sheetViews>
    <sheetView topLeftCell="A3" workbookViewId="0">
      <selection activeCell="I19" sqref="I19"/>
    </sheetView>
  </sheetViews>
  <sheetFormatPr defaultColWidth="9" defaultRowHeight="17.399999999999999"/>
  <cols>
    <col min="1" max="1" width="9" style="6"/>
    <col min="2" max="2" width="9" style="2"/>
    <col min="3" max="3" width="13.19921875" style="2" customWidth="1"/>
    <col min="4" max="6" width="9" style="2"/>
    <col min="7" max="7" width="10.296875" style="2" customWidth="1"/>
    <col min="8" max="10" width="9" style="2"/>
    <col min="11" max="13" width="9" style="6"/>
    <col min="14" max="16384" width="9" style="7"/>
  </cols>
  <sheetData>
    <row r="3" spans="2:13">
      <c r="B3" s="11" t="s">
        <v>0</v>
      </c>
      <c r="C3" s="11" t="s">
        <v>1</v>
      </c>
      <c r="D3" s="11" t="s">
        <v>25</v>
      </c>
      <c r="E3" s="11" t="s">
        <v>26</v>
      </c>
      <c r="F3" s="11" t="s">
        <v>27</v>
      </c>
      <c r="G3" s="11" t="s">
        <v>28</v>
      </c>
      <c r="J3" s="6"/>
      <c r="M3" s="7"/>
    </row>
    <row r="4" spans="2:13">
      <c r="B4" s="14" t="s">
        <v>255</v>
      </c>
      <c r="C4" s="15">
        <v>39211</v>
      </c>
      <c r="D4" s="5">
        <v>90</v>
      </c>
      <c r="E4" s="5">
        <v>80</v>
      </c>
      <c r="F4" s="5">
        <v>80</v>
      </c>
      <c r="G4" s="5">
        <v>80</v>
      </c>
      <c r="J4" s="6"/>
      <c r="M4" s="7"/>
    </row>
    <row r="5" spans="2:13">
      <c r="B5" s="14" t="s">
        <v>3</v>
      </c>
      <c r="C5" s="15">
        <v>42485</v>
      </c>
      <c r="D5" s="5">
        <v>80</v>
      </c>
      <c r="E5" s="5">
        <v>21</v>
      </c>
      <c r="F5" s="5">
        <v>70</v>
      </c>
      <c r="G5" s="5">
        <v>80</v>
      </c>
      <c r="J5" s="6"/>
      <c r="M5" s="7"/>
    </row>
    <row r="6" spans="2:13">
      <c r="B6" s="14" t="s">
        <v>4</v>
      </c>
      <c r="C6" s="15">
        <v>43047</v>
      </c>
      <c r="D6" s="5">
        <v>80</v>
      </c>
      <c r="E6" s="5">
        <v>52</v>
      </c>
      <c r="F6" s="5">
        <v>70</v>
      </c>
      <c r="G6" s="5">
        <v>90</v>
      </c>
      <c r="J6" s="6"/>
      <c r="M6" s="7"/>
    </row>
    <row r="7" spans="2:13">
      <c r="B7" s="14" t="s">
        <v>5</v>
      </c>
      <c r="C7" s="15">
        <v>41766</v>
      </c>
      <c r="D7" s="5">
        <v>79</v>
      </c>
      <c r="E7" s="5">
        <v>43</v>
      </c>
      <c r="F7" s="5">
        <v>100</v>
      </c>
      <c r="G7" s="5">
        <v>100</v>
      </c>
      <c r="J7" s="6"/>
      <c r="M7" s="7"/>
    </row>
    <row r="8" spans="2:13">
      <c r="B8" s="14" t="s">
        <v>6</v>
      </c>
      <c r="C8" s="15">
        <v>39337</v>
      </c>
      <c r="D8" s="5">
        <v>21</v>
      </c>
      <c r="E8" s="5">
        <v>63</v>
      </c>
      <c r="F8" s="5">
        <v>10</v>
      </c>
      <c r="G8" s="5">
        <v>100</v>
      </c>
      <c r="J8" s="6"/>
      <c r="M8" s="7"/>
    </row>
    <row r="9" spans="2:13">
      <c r="B9" s="14" t="s">
        <v>7</v>
      </c>
      <c r="C9" s="15">
        <v>42919</v>
      </c>
      <c r="D9" s="5">
        <v>0</v>
      </c>
      <c r="E9" s="5">
        <v>53</v>
      </c>
      <c r="F9" s="5">
        <v>10</v>
      </c>
      <c r="G9" s="5">
        <v>20</v>
      </c>
      <c r="J9" s="6"/>
      <c r="M9" s="7"/>
    </row>
    <row r="10" spans="2:13">
      <c r="B10" s="14" t="s">
        <v>8</v>
      </c>
      <c r="C10" s="15">
        <v>41765</v>
      </c>
      <c r="D10" s="5">
        <v>90</v>
      </c>
      <c r="E10" s="5">
        <v>100</v>
      </c>
      <c r="F10" s="5">
        <v>90</v>
      </c>
      <c r="G10" s="5">
        <v>100</v>
      </c>
      <c r="J10" s="6"/>
      <c r="M10" s="7"/>
    </row>
    <row r="11" spans="2:13">
      <c r="B11" s="14" t="s">
        <v>9</v>
      </c>
      <c r="C11" s="15">
        <v>42097</v>
      </c>
      <c r="D11" s="5">
        <v>0</v>
      </c>
      <c r="E11" s="5">
        <v>40</v>
      </c>
      <c r="F11" s="5">
        <v>10</v>
      </c>
      <c r="G11" s="5">
        <v>50</v>
      </c>
      <c r="J11" s="6"/>
      <c r="M11" s="7"/>
    </row>
    <row r="12" spans="2:13">
      <c r="B12" s="14" t="s">
        <v>10</v>
      </c>
      <c r="C12" s="15">
        <v>42010</v>
      </c>
      <c r="D12" s="5">
        <v>0</v>
      </c>
      <c r="E12" s="5">
        <v>10</v>
      </c>
      <c r="F12" s="5">
        <v>1</v>
      </c>
      <c r="G12" s="5">
        <v>60</v>
      </c>
      <c r="J12" s="6"/>
      <c r="M12" s="7"/>
    </row>
    <row r="13" spans="2:13">
      <c r="B13" s="14" t="s">
        <v>11</v>
      </c>
      <c r="C13" s="15">
        <v>42493</v>
      </c>
      <c r="D13" s="5">
        <v>80</v>
      </c>
      <c r="E13" s="5">
        <v>50</v>
      </c>
      <c r="F13" s="5">
        <v>0</v>
      </c>
      <c r="G13" s="5">
        <v>20</v>
      </c>
      <c r="J13" s="6"/>
      <c r="M13" s="7"/>
    </row>
    <row r="14" spans="2:13">
      <c r="B14" s="14" t="s">
        <v>12</v>
      </c>
      <c r="C14" s="15">
        <v>39059</v>
      </c>
      <c r="D14" s="5">
        <v>79</v>
      </c>
      <c r="E14" s="5">
        <v>25</v>
      </c>
      <c r="F14" s="5">
        <v>1</v>
      </c>
      <c r="G14" s="5">
        <v>40</v>
      </c>
      <c r="J14" s="6"/>
      <c r="M14" s="7"/>
    </row>
    <row r="15" spans="2:13">
      <c r="B15" s="14" t="s">
        <v>13</v>
      </c>
      <c r="C15" s="15">
        <v>43094</v>
      </c>
      <c r="D15" s="5">
        <v>68</v>
      </c>
      <c r="E15" s="5">
        <v>21</v>
      </c>
      <c r="F15" s="5">
        <v>1</v>
      </c>
      <c r="G15" s="5">
        <v>20</v>
      </c>
      <c r="J15" s="6"/>
      <c r="M15" s="7"/>
    </row>
    <row r="16" spans="2:13">
      <c r="B16" s="14" t="s">
        <v>14</v>
      </c>
      <c r="C16" s="15">
        <v>39145</v>
      </c>
      <c r="D16" s="5">
        <v>57</v>
      </c>
      <c r="E16" s="5">
        <v>0</v>
      </c>
      <c r="F16" s="5">
        <v>1</v>
      </c>
      <c r="G16" s="5">
        <v>10</v>
      </c>
      <c r="J16" s="6"/>
      <c r="M16" s="7"/>
    </row>
    <row r="17" spans="2:13">
      <c r="B17" s="14" t="s">
        <v>15</v>
      </c>
      <c r="C17" s="15">
        <v>42643</v>
      </c>
      <c r="D17" s="5">
        <v>46</v>
      </c>
      <c r="E17" s="5">
        <v>0</v>
      </c>
      <c r="F17" s="5">
        <v>1</v>
      </c>
      <c r="G17" s="5">
        <v>20</v>
      </c>
      <c r="J17" s="6"/>
      <c r="M17" s="7"/>
    </row>
    <row r="18" spans="2:13">
      <c r="B18" s="14" t="s">
        <v>16</v>
      </c>
      <c r="C18" s="15">
        <v>42742</v>
      </c>
      <c r="D18" s="5">
        <v>5</v>
      </c>
      <c r="E18" s="5">
        <v>0</v>
      </c>
      <c r="F18" s="5">
        <v>0</v>
      </c>
      <c r="G18" s="5">
        <v>30</v>
      </c>
      <c r="J18" s="6"/>
      <c r="M18" s="7"/>
    </row>
    <row r="19" spans="2:13">
      <c r="B19" s="14" t="s">
        <v>17</v>
      </c>
      <c r="C19" s="15">
        <v>42610</v>
      </c>
      <c r="D19" s="5">
        <v>100</v>
      </c>
      <c r="E19" s="5">
        <v>100</v>
      </c>
      <c r="F19" s="5">
        <v>80</v>
      </c>
      <c r="G19" s="5">
        <v>80</v>
      </c>
      <c r="J19" s="6"/>
      <c r="M19" s="7"/>
    </row>
    <row r="20" spans="2:13">
      <c r="B20" s="5" t="s">
        <v>18</v>
      </c>
      <c r="C20" s="15">
        <v>42132</v>
      </c>
      <c r="D20" s="5">
        <v>3</v>
      </c>
      <c r="E20" s="5">
        <v>0</v>
      </c>
      <c r="F20" s="5">
        <v>80</v>
      </c>
      <c r="G20" s="5">
        <v>50</v>
      </c>
      <c r="J20" s="6"/>
      <c r="M20" s="7"/>
    </row>
    <row r="21" spans="2:13">
      <c r="B21" s="5" t="s">
        <v>19</v>
      </c>
      <c r="C21" s="15">
        <v>39338</v>
      </c>
      <c r="D21" s="5">
        <v>85</v>
      </c>
      <c r="E21" s="5">
        <v>90</v>
      </c>
      <c r="F21" s="5">
        <v>90</v>
      </c>
      <c r="G21" s="5">
        <v>80</v>
      </c>
      <c r="J21" s="6"/>
      <c r="M21" s="7"/>
    </row>
    <row r="22" spans="2:13">
      <c r="B22" s="5" t="s">
        <v>20</v>
      </c>
      <c r="C22" s="15">
        <v>42191</v>
      </c>
      <c r="D22" s="5">
        <v>68</v>
      </c>
      <c r="E22" s="5">
        <v>0</v>
      </c>
      <c r="F22" s="5">
        <v>24</v>
      </c>
      <c r="G22" s="5">
        <v>20</v>
      </c>
      <c r="J22" s="6"/>
      <c r="M22" s="7"/>
    </row>
    <row r="23" spans="2:13">
      <c r="B23" s="5" t="s">
        <v>21</v>
      </c>
      <c r="C23" s="15">
        <v>41763</v>
      </c>
      <c r="D23" s="5">
        <v>79</v>
      </c>
      <c r="E23" s="5">
        <v>0</v>
      </c>
      <c r="F23" s="5">
        <v>79</v>
      </c>
      <c r="G23" s="5">
        <v>30</v>
      </c>
      <c r="J23" s="6"/>
      <c r="M23" s="7"/>
    </row>
    <row r="24" spans="2:13">
      <c r="B24" s="5" t="s">
        <v>22</v>
      </c>
      <c r="C24" s="15">
        <v>42462</v>
      </c>
      <c r="D24" s="5">
        <v>80</v>
      </c>
      <c r="E24" s="5">
        <v>90</v>
      </c>
      <c r="F24" s="5">
        <v>88</v>
      </c>
      <c r="G24" s="5">
        <v>90</v>
      </c>
      <c r="J24" s="6"/>
      <c r="M24" s="7"/>
    </row>
    <row r="25" spans="2:13">
      <c r="B25" s="5" t="s">
        <v>23</v>
      </c>
      <c r="C25" s="15">
        <v>42743</v>
      </c>
      <c r="D25" s="5">
        <v>79</v>
      </c>
      <c r="E25" s="5">
        <v>0</v>
      </c>
      <c r="F25" s="5">
        <v>25</v>
      </c>
      <c r="G25" s="5">
        <v>50</v>
      </c>
      <c r="J25" s="6"/>
      <c r="M25" s="7"/>
    </row>
    <row r="26" spans="2:13">
      <c r="B26" s="5" t="s">
        <v>24</v>
      </c>
      <c r="C26" s="15">
        <v>42889</v>
      </c>
      <c r="D26" s="5">
        <v>58</v>
      </c>
      <c r="E26" s="5">
        <v>0</v>
      </c>
      <c r="F26" s="5">
        <v>45</v>
      </c>
      <c r="G26" s="5">
        <v>80</v>
      </c>
      <c r="J26" s="6"/>
      <c r="M26" s="7"/>
    </row>
    <row r="28" spans="2:13">
      <c r="B28" s="2" t="s">
        <v>253</v>
      </c>
      <c r="C28" s="2" t="s">
        <v>254</v>
      </c>
    </row>
    <row r="29" spans="2:13">
      <c r="B29" s="2" t="b">
        <f>AVERAGE(D4:G4)&gt;=80</f>
        <v>1</v>
      </c>
    </row>
    <row r="30" spans="2:13">
      <c r="C30" s="2" t="b">
        <f>AVERAGE($G$4:$G$26)&lt;=G4</f>
        <v>1</v>
      </c>
    </row>
    <row r="33" spans="2:7">
      <c r="B33" s="11" t="s">
        <v>0</v>
      </c>
      <c r="C33" s="11" t="s">
        <v>1</v>
      </c>
      <c r="D33" s="11" t="s">
        <v>25</v>
      </c>
      <c r="E33" s="11" t="s">
        <v>26</v>
      </c>
      <c r="F33" s="11" t="s">
        <v>27</v>
      </c>
      <c r="G33" s="11" t="s">
        <v>28</v>
      </c>
    </row>
    <row r="34" spans="2:7">
      <c r="B34" s="14" t="s">
        <v>2</v>
      </c>
      <c r="C34" s="15">
        <v>39211</v>
      </c>
      <c r="D34" s="85">
        <v>90</v>
      </c>
      <c r="E34" s="85">
        <v>80</v>
      </c>
      <c r="F34" s="85">
        <v>80</v>
      </c>
      <c r="G34" s="85">
        <v>80</v>
      </c>
    </row>
    <row r="35" spans="2:7">
      <c r="B35" s="14" t="s">
        <v>3</v>
      </c>
      <c r="C35" s="15">
        <v>42485</v>
      </c>
      <c r="D35" s="85">
        <v>80</v>
      </c>
      <c r="E35" s="85">
        <v>21</v>
      </c>
      <c r="F35" s="85">
        <v>70</v>
      </c>
      <c r="G35" s="85">
        <v>80</v>
      </c>
    </row>
    <row r="36" spans="2:7">
      <c r="B36" s="14" t="s">
        <v>4</v>
      </c>
      <c r="C36" s="15">
        <v>43047</v>
      </c>
      <c r="D36" s="85">
        <v>80</v>
      </c>
      <c r="E36" s="85">
        <v>52</v>
      </c>
      <c r="F36" s="85">
        <v>70</v>
      </c>
      <c r="G36" s="85">
        <v>90</v>
      </c>
    </row>
    <row r="37" spans="2:7">
      <c r="B37" s="14" t="s">
        <v>5</v>
      </c>
      <c r="C37" s="15">
        <v>41766</v>
      </c>
      <c r="D37" s="85">
        <v>79</v>
      </c>
      <c r="E37" s="85">
        <v>43</v>
      </c>
      <c r="F37" s="85">
        <v>100</v>
      </c>
      <c r="G37" s="85">
        <v>100</v>
      </c>
    </row>
    <row r="38" spans="2:7">
      <c r="B38" s="14" t="s">
        <v>6</v>
      </c>
      <c r="C38" s="15">
        <v>39337</v>
      </c>
      <c r="D38" s="85">
        <v>21</v>
      </c>
      <c r="E38" s="85">
        <v>63</v>
      </c>
      <c r="F38" s="85">
        <v>10</v>
      </c>
      <c r="G38" s="85">
        <v>100</v>
      </c>
    </row>
    <row r="39" spans="2:7">
      <c r="B39" s="14" t="s">
        <v>8</v>
      </c>
      <c r="C39" s="15">
        <v>41765</v>
      </c>
      <c r="D39" s="85">
        <v>90</v>
      </c>
      <c r="E39" s="85">
        <v>100</v>
      </c>
      <c r="F39" s="85">
        <v>90</v>
      </c>
      <c r="G39" s="85">
        <v>100</v>
      </c>
    </row>
    <row r="40" spans="2:7">
      <c r="B40" s="14" t="s">
        <v>10</v>
      </c>
      <c r="C40" s="15">
        <v>42010</v>
      </c>
      <c r="D40" s="85">
        <v>0</v>
      </c>
      <c r="E40" s="85">
        <v>10</v>
      </c>
      <c r="F40" s="85">
        <v>1</v>
      </c>
      <c r="G40" s="85">
        <v>60</v>
      </c>
    </row>
    <row r="41" spans="2:7">
      <c r="B41" s="14" t="s">
        <v>17</v>
      </c>
      <c r="C41" s="15">
        <v>42610</v>
      </c>
      <c r="D41" s="85">
        <v>100</v>
      </c>
      <c r="E41" s="85">
        <v>100</v>
      </c>
      <c r="F41" s="85">
        <v>80</v>
      </c>
      <c r="G41" s="85">
        <v>80</v>
      </c>
    </row>
    <row r="42" spans="2:7">
      <c r="B42" s="85" t="s">
        <v>19</v>
      </c>
      <c r="C42" s="15">
        <v>39338</v>
      </c>
      <c r="D42" s="85">
        <v>85</v>
      </c>
      <c r="E42" s="85">
        <v>90</v>
      </c>
      <c r="F42" s="85">
        <v>90</v>
      </c>
      <c r="G42" s="85">
        <v>80</v>
      </c>
    </row>
    <row r="43" spans="2:7">
      <c r="B43" s="85" t="s">
        <v>22</v>
      </c>
      <c r="C43" s="15">
        <v>42462</v>
      </c>
      <c r="D43" s="85">
        <v>80</v>
      </c>
      <c r="E43" s="85">
        <v>90</v>
      </c>
      <c r="F43" s="85">
        <v>88</v>
      </c>
      <c r="G43" s="85">
        <v>90</v>
      </c>
    </row>
    <row r="44" spans="2:7">
      <c r="B44" s="85" t="s">
        <v>24</v>
      </c>
      <c r="C44" s="15">
        <v>42889</v>
      </c>
      <c r="D44" s="85">
        <v>58</v>
      </c>
      <c r="E44" s="85">
        <v>0</v>
      </c>
      <c r="F44" s="85">
        <v>45</v>
      </c>
      <c r="G44" s="85">
        <v>80</v>
      </c>
    </row>
  </sheetData>
  <phoneticPr fontId="1" type="noConversion"/>
  <conditionalFormatting sqref="B4:G26">
    <cfRule type="expression" dxfId="4" priority="1">
      <formula>OR((YEAR(TODAY())-YEAR($C4)&gt;=10),(DAY($C4)&lt;10))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I25"/>
  <sheetViews>
    <sheetView workbookViewId="0">
      <selection activeCell="D6" sqref="D6"/>
    </sheetView>
  </sheetViews>
  <sheetFormatPr defaultColWidth="9" defaultRowHeight="17.399999999999999"/>
  <cols>
    <col min="1" max="2" width="9" style="99"/>
    <col min="3" max="3" width="11.5" style="99" customWidth="1"/>
    <col min="4" max="4" width="14.69921875" style="99" customWidth="1"/>
    <col min="5" max="6" width="9" style="99"/>
    <col min="7" max="7" width="11.296875" style="99" customWidth="1"/>
    <col min="8" max="8" width="11.69921875" style="99" customWidth="1"/>
    <col min="9" max="9" width="11" style="99" customWidth="1"/>
    <col min="10" max="16384" width="9" style="99"/>
  </cols>
  <sheetData>
    <row r="2" spans="2:9">
      <c r="B2" s="98" t="s">
        <v>189</v>
      </c>
      <c r="C2" s="98" t="s">
        <v>190</v>
      </c>
      <c r="D2" s="98" t="s">
        <v>191</v>
      </c>
      <c r="E2" s="98" t="s">
        <v>192</v>
      </c>
      <c r="F2" s="98" t="s">
        <v>193</v>
      </c>
      <c r="G2" s="98" t="s">
        <v>194</v>
      </c>
      <c r="H2" s="98" t="s">
        <v>195</v>
      </c>
      <c r="I2" s="98" t="s">
        <v>196</v>
      </c>
    </row>
    <row r="3" spans="2:9">
      <c r="B3" s="100">
        <v>1</v>
      </c>
      <c r="C3" s="100">
        <v>10630</v>
      </c>
      <c r="D3" s="101">
        <v>39207</v>
      </c>
      <c r="E3" s="100" t="s">
        <v>197</v>
      </c>
      <c r="F3" s="100">
        <v>10900</v>
      </c>
      <c r="G3" s="100">
        <v>8888</v>
      </c>
      <c r="H3" s="100" t="s">
        <v>198</v>
      </c>
      <c r="I3" s="102" t="s">
        <v>199</v>
      </c>
    </row>
    <row r="4" spans="2:9">
      <c r="B4" s="100">
        <v>2</v>
      </c>
      <c r="C4" s="100">
        <v>33520</v>
      </c>
      <c r="D4" s="101">
        <v>39207</v>
      </c>
      <c r="E4" s="100" t="s">
        <v>200</v>
      </c>
      <c r="F4" s="100">
        <v>180000</v>
      </c>
      <c r="G4" s="100">
        <v>8888</v>
      </c>
      <c r="H4" s="100" t="s">
        <v>198</v>
      </c>
      <c r="I4" s="102" t="s">
        <v>199</v>
      </c>
    </row>
    <row r="5" spans="2:9">
      <c r="B5" s="100">
        <v>3</v>
      </c>
      <c r="C5" s="100">
        <v>22170</v>
      </c>
      <c r="D5" s="101">
        <v>39209</v>
      </c>
      <c r="E5" s="100" t="s">
        <v>201</v>
      </c>
      <c r="F5" s="100">
        <v>15000</v>
      </c>
      <c r="G5" s="100">
        <v>9999</v>
      </c>
      <c r="H5" s="100" t="s">
        <v>198</v>
      </c>
      <c r="I5" s="102" t="s">
        <v>199</v>
      </c>
    </row>
    <row r="6" spans="2:9">
      <c r="B6" s="100">
        <v>4</v>
      </c>
      <c r="C6" s="100">
        <v>69610</v>
      </c>
      <c r="D6" s="101">
        <v>39214</v>
      </c>
      <c r="E6" s="100" t="s">
        <v>197</v>
      </c>
      <c r="F6" s="100">
        <v>9570</v>
      </c>
      <c r="G6" s="100">
        <v>8888</v>
      </c>
      <c r="H6" s="100" t="s">
        <v>198</v>
      </c>
      <c r="I6" s="102" t="s">
        <v>199</v>
      </c>
    </row>
    <row r="7" spans="2:9">
      <c r="B7" s="100">
        <v>5</v>
      </c>
      <c r="C7" s="100">
        <v>40500</v>
      </c>
      <c r="D7" s="101">
        <v>39217</v>
      </c>
      <c r="E7" s="100" t="s">
        <v>202</v>
      </c>
      <c r="F7" s="100">
        <v>6000</v>
      </c>
      <c r="G7" s="100">
        <v>8888</v>
      </c>
      <c r="H7" s="100" t="s">
        <v>198</v>
      </c>
      <c r="I7" s="102" t="s">
        <v>199</v>
      </c>
    </row>
    <row r="8" spans="2:9">
      <c r="B8" s="100">
        <v>6</v>
      </c>
      <c r="C8" s="100">
        <v>11510</v>
      </c>
      <c r="D8" s="101">
        <v>39224</v>
      </c>
      <c r="E8" s="100" t="s">
        <v>203</v>
      </c>
      <c r="F8" s="100">
        <v>101600</v>
      </c>
      <c r="G8" s="100">
        <v>7777</v>
      </c>
      <c r="H8" s="100" t="s">
        <v>198</v>
      </c>
      <c r="I8" s="102" t="s">
        <v>199</v>
      </c>
    </row>
    <row r="9" spans="2:9">
      <c r="B9" s="100">
        <v>7</v>
      </c>
      <c r="C9" s="100">
        <v>89110</v>
      </c>
      <c r="D9" s="101">
        <v>39224</v>
      </c>
      <c r="E9" s="100" t="s">
        <v>197</v>
      </c>
      <c r="F9" s="100">
        <v>39960</v>
      </c>
      <c r="G9" s="100">
        <v>7777</v>
      </c>
      <c r="H9" s="100" t="s">
        <v>198</v>
      </c>
      <c r="I9" s="102" t="s">
        <v>199</v>
      </c>
    </row>
    <row r="10" spans="2:9">
      <c r="B10" s="100">
        <v>8</v>
      </c>
      <c r="C10" s="100">
        <v>51150</v>
      </c>
      <c r="D10" s="101">
        <v>39232</v>
      </c>
      <c r="E10" s="100" t="s">
        <v>200</v>
      </c>
      <c r="F10" s="100">
        <v>180000</v>
      </c>
      <c r="G10" s="100">
        <v>8888</v>
      </c>
      <c r="H10" s="100" t="s">
        <v>198</v>
      </c>
      <c r="I10" s="102" t="s">
        <v>199</v>
      </c>
    </row>
    <row r="11" spans="2:9">
      <c r="B11" s="100">
        <v>9</v>
      </c>
      <c r="C11" s="100">
        <v>47430</v>
      </c>
      <c r="D11" s="101">
        <v>39240</v>
      </c>
      <c r="E11" s="100" t="s">
        <v>204</v>
      </c>
      <c r="F11" s="100">
        <v>7200</v>
      </c>
      <c r="G11" s="100">
        <v>9999</v>
      </c>
      <c r="H11" s="100" t="s">
        <v>198</v>
      </c>
      <c r="I11" s="102" t="s">
        <v>199</v>
      </c>
    </row>
    <row r="12" spans="2:9">
      <c r="B12" s="100">
        <v>10</v>
      </c>
      <c r="C12" s="100">
        <v>47020</v>
      </c>
      <c r="D12" s="101">
        <v>39243</v>
      </c>
      <c r="E12" s="100" t="s">
        <v>197</v>
      </c>
      <c r="F12" s="100">
        <v>6200</v>
      </c>
      <c r="G12" s="100">
        <v>8888</v>
      </c>
      <c r="H12" s="100" t="s">
        <v>198</v>
      </c>
      <c r="I12" s="102" t="s">
        <v>199</v>
      </c>
    </row>
    <row r="13" spans="2:9">
      <c r="B13" s="100">
        <v>11</v>
      </c>
      <c r="C13" s="100">
        <v>64370</v>
      </c>
      <c r="D13" s="101">
        <v>39257</v>
      </c>
      <c r="E13" s="100" t="s">
        <v>205</v>
      </c>
      <c r="F13" s="100">
        <v>90000</v>
      </c>
      <c r="G13" s="100">
        <v>8888</v>
      </c>
      <c r="H13" s="100" t="s">
        <v>198</v>
      </c>
      <c r="I13" s="102" t="s">
        <v>199</v>
      </c>
    </row>
    <row r="14" spans="2:9">
      <c r="B14" s="100">
        <v>12</v>
      </c>
      <c r="C14" s="100">
        <v>96050</v>
      </c>
      <c r="D14" s="101">
        <v>39257</v>
      </c>
      <c r="E14" s="100" t="s">
        <v>206</v>
      </c>
      <c r="F14" s="100">
        <v>68500</v>
      </c>
      <c r="G14" s="100">
        <v>7777</v>
      </c>
      <c r="H14" s="100" t="s">
        <v>198</v>
      </c>
      <c r="I14" s="102" t="s">
        <v>199</v>
      </c>
    </row>
    <row r="15" spans="2:9">
      <c r="B15" s="100">
        <v>13</v>
      </c>
      <c r="C15" s="100">
        <v>53420</v>
      </c>
      <c r="D15" s="101">
        <v>39257</v>
      </c>
      <c r="E15" s="100" t="s">
        <v>205</v>
      </c>
      <c r="F15" s="100">
        <v>90000</v>
      </c>
      <c r="G15" s="100">
        <v>8888</v>
      </c>
      <c r="H15" s="100" t="s">
        <v>198</v>
      </c>
      <c r="I15" s="102" t="s">
        <v>199</v>
      </c>
    </row>
    <row r="16" spans="2:9">
      <c r="B16" s="100">
        <v>14</v>
      </c>
      <c r="C16" s="100">
        <v>30320</v>
      </c>
      <c r="D16" s="101">
        <v>39257</v>
      </c>
      <c r="E16" s="100" t="s">
        <v>197</v>
      </c>
      <c r="F16" s="100">
        <v>11760</v>
      </c>
      <c r="G16" s="100">
        <v>8888</v>
      </c>
      <c r="H16" s="100" t="s">
        <v>198</v>
      </c>
      <c r="I16" s="102" t="s">
        <v>199</v>
      </c>
    </row>
    <row r="17" spans="2:9">
      <c r="B17" s="100">
        <v>15</v>
      </c>
      <c r="C17" s="100">
        <v>57110</v>
      </c>
      <c r="D17" s="101">
        <v>39265</v>
      </c>
      <c r="E17" s="100" t="s">
        <v>197</v>
      </c>
      <c r="F17" s="100">
        <v>9000</v>
      </c>
      <c r="G17" s="100">
        <v>8888</v>
      </c>
      <c r="H17" s="100" t="s">
        <v>198</v>
      </c>
      <c r="I17" s="102" t="s">
        <v>199</v>
      </c>
    </row>
    <row r="18" spans="2:9">
      <c r="B18" s="100">
        <v>16</v>
      </c>
      <c r="C18" s="100">
        <v>98600</v>
      </c>
      <c r="D18" s="101">
        <v>39274</v>
      </c>
      <c r="E18" s="100" t="s">
        <v>197</v>
      </c>
      <c r="F18" s="100">
        <v>10000</v>
      </c>
      <c r="G18" s="100">
        <v>8888</v>
      </c>
      <c r="H18" s="100" t="s">
        <v>198</v>
      </c>
      <c r="I18" s="102" t="s">
        <v>199</v>
      </c>
    </row>
    <row r="19" spans="2:9">
      <c r="B19" s="100">
        <v>17</v>
      </c>
      <c r="C19" s="100">
        <v>89560</v>
      </c>
      <c r="D19" s="101">
        <v>39283</v>
      </c>
      <c r="E19" s="100" t="s">
        <v>200</v>
      </c>
      <c r="F19" s="100">
        <v>180000</v>
      </c>
      <c r="G19" s="100">
        <v>7777</v>
      </c>
      <c r="H19" s="100" t="s">
        <v>198</v>
      </c>
      <c r="I19" s="102" t="s">
        <v>199</v>
      </c>
    </row>
    <row r="20" spans="2:9">
      <c r="B20" s="100">
        <v>18</v>
      </c>
      <c r="C20" s="100">
        <v>42280</v>
      </c>
      <c r="D20" s="101">
        <v>39303</v>
      </c>
      <c r="E20" s="100" t="s">
        <v>207</v>
      </c>
      <c r="F20" s="100">
        <v>22530</v>
      </c>
      <c r="G20" s="100">
        <v>7777</v>
      </c>
      <c r="H20" s="100" t="s">
        <v>198</v>
      </c>
      <c r="I20" s="102" t="s">
        <v>199</v>
      </c>
    </row>
    <row r="21" spans="2:9">
      <c r="B21" s="100">
        <v>19</v>
      </c>
      <c r="C21" s="100">
        <v>91890</v>
      </c>
      <c r="D21" s="101">
        <v>39305</v>
      </c>
      <c r="E21" s="100" t="s">
        <v>208</v>
      </c>
      <c r="F21" s="100">
        <v>95780</v>
      </c>
      <c r="G21" s="100">
        <v>8888</v>
      </c>
      <c r="H21" s="100" t="s">
        <v>198</v>
      </c>
      <c r="I21" s="102" t="s">
        <v>199</v>
      </c>
    </row>
    <row r="22" spans="2:9">
      <c r="B22" s="100">
        <v>20</v>
      </c>
      <c r="C22" s="100">
        <v>29250</v>
      </c>
      <c r="D22" s="101">
        <v>39311</v>
      </c>
      <c r="E22" s="100" t="s">
        <v>197</v>
      </c>
      <c r="F22" s="100">
        <v>6700</v>
      </c>
      <c r="G22" s="100">
        <v>8888</v>
      </c>
      <c r="H22" s="100" t="s">
        <v>198</v>
      </c>
      <c r="I22" s="102" t="s">
        <v>199</v>
      </c>
    </row>
    <row r="23" spans="2:9">
      <c r="B23" s="100">
        <v>21</v>
      </c>
      <c r="C23" s="100">
        <v>84780</v>
      </c>
      <c r="D23" s="101">
        <v>39312</v>
      </c>
      <c r="E23" s="100" t="s">
        <v>209</v>
      </c>
      <c r="F23" s="100">
        <v>16000</v>
      </c>
      <c r="G23" s="100">
        <v>8888</v>
      </c>
      <c r="H23" s="100" t="s">
        <v>198</v>
      </c>
      <c r="I23" s="102" t="s">
        <v>199</v>
      </c>
    </row>
    <row r="24" spans="2:9">
      <c r="B24" s="100">
        <v>22</v>
      </c>
      <c r="C24" s="100">
        <v>63310</v>
      </c>
      <c r="D24" s="101">
        <v>39316</v>
      </c>
      <c r="E24" s="100" t="s">
        <v>197</v>
      </c>
      <c r="F24" s="100">
        <v>20000</v>
      </c>
      <c r="G24" s="100">
        <v>8888</v>
      </c>
      <c r="H24" s="100" t="s">
        <v>198</v>
      </c>
      <c r="I24" s="102" t="s">
        <v>199</v>
      </c>
    </row>
    <row r="25" spans="2:9">
      <c r="B25" s="100">
        <v>23</v>
      </c>
      <c r="C25" s="100">
        <v>54920</v>
      </c>
      <c r="D25" s="101">
        <v>39318</v>
      </c>
      <c r="E25" s="100" t="s">
        <v>200</v>
      </c>
      <c r="F25" s="100">
        <v>90000</v>
      </c>
      <c r="G25" s="100">
        <v>8888</v>
      </c>
      <c r="H25" s="100" t="s">
        <v>198</v>
      </c>
      <c r="I25" s="102" t="s">
        <v>199</v>
      </c>
    </row>
  </sheetData>
  <sheetProtection sheet="1" objects="1" scenarios="1" formatCells="0"/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cellComments="atEnd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V53"/>
  <sheetViews>
    <sheetView topLeftCell="J25" workbookViewId="0">
      <selection activeCell="S43" sqref="S43"/>
    </sheetView>
  </sheetViews>
  <sheetFormatPr defaultColWidth="9" defaultRowHeight="17.399999999999999"/>
  <cols>
    <col min="1" max="2" width="9" style="4"/>
    <col min="3" max="3" width="12.296875" style="8" customWidth="1"/>
    <col min="4" max="4" width="13" style="9" customWidth="1"/>
    <col min="5" max="5" width="13.19921875" style="3" customWidth="1"/>
    <col min="6" max="6" width="14.296875" style="3" customWidth="1"/>
    <col min="7" max="7" width="14.5" style="3" customWidth="1"/>
    <col min="8" max="8" width="12.296875" style="4" bestFit="1" customWidth="1"/>
    <col min="9" max="9" width="9" style="3"/>
    <col min="10" max="13" width="9" style="4"/>
    <col min="14" max="14" width="12.19921875" style="4" customWidth="1"/>
    <col min="15" max="16" width="9" style="4"/>
    <col min="17" max="17" width="9" style="4" customWidth="1"/>
    <col min="18" max="18" width="17.296875" style="4" customWidth="1"/>
    <col min="19" max="19" width="15.09765625" style="4" customWidth="1"/>
    <col min="20" max="16384" width="9" style="4"/>
  </cols>
  <sheetData>
    <row r="1" spans="2:22" customFormat="1">
      <c r="B1" s="4"/>
      <c r="C1" s="8"/>
      <c r="D1" s="9"/>
      <c r="E1" s="3"/>
      <c r="F1" s="3"/>
      <c r="G1" s="3"/>
      <c r="H1" s="4"/>
      <c r="I1" s="6"/>
    </row>
    <row r="2" spans="2:22" customFormat="1">
      <c r="B2" s="6" t="s">
        <v>29</v>
      </c>
      <c r="C2" s="6"/>
      <c r="D2" s="6"/>
      <c r="E2" s="6"/>
      <c r="F2" s="6"/>
      <c r="G2" s="6"/>
      <c r="H2" s="6"/>
      <c r="I2" s="6"/>
      <c r="M2" s="27" t="s">
        <v>30</v>
      </c>
      <c r="N2" s="27"/>
      <c r="O2" s="27"/>
      <c r="P2" s="27"/>
      <c r="Q2" s="27"/>
      <c r="R2" s="27"/>
      <c r="S2" s="27"/>
      <c r="T2" s="27"/>
      <c r="U2" s="27"/>
      <c r="V2" s="27"/>
    </row>
    <row r="3" spans="2:22" customFormat="1">
      <c r="B3" s="16" t="s">
        <v>31</v>
      </c>
      <c r="C3" s="17">
        <v>0.02</v>
      </c>
      <c r="D3" s="17">
        <v>0.03</v>
      </c>
      <c r="E3" s="17">
        <v>0.04</v>
      </c>
      <c r="F3" s="17">
        <v>0.05</v>
      </c>
      <c r="G3" s="17">
        <v>0.06</v>
      </c>
      <c r="H3" s="17">
        <v>7.0000000000000007E-2</v>
      </c>
      <c r="I3" s="6"/>
      <c r="M3" s="35" t="s">
        <v>32</v>
      </c>
      <c r="N3" s="35" t="s">
        <v>33</v>
      </c>
      <c r="O3" s="35" t="s">
        <v>34</v>
      </c>
      <c r="P3" s="35" t="s">
        <v>35</v>
      </c>
      <c r="Q3" s="35" t="s">
        <v>36</v>
      </c>
      <c r="R3" s="35" t="s">
        <v>37</v>
      </c>
      <c r="S3" s="25" t="s">
        <v>38</v>
      </c>
      <c r="T3" s="27"/>
      <c r="U3" s="27"/>
      <c r="V3" s="27"/>
    </row>
    <row r="4" spans="2:22" customFormat="1">
      <c r="B4" s="16" t="s">
        <v>39</v>
      </c>
      <c r="C4" s="18">
        <v>2</v>
      </c>
      <c r="D4" s="18">
        <v>2</v>
      </c>
      <c r="E4" s="18">
        <v>2</v>
      </c>
      <c r="F4" s="18">
        <v>2</v>
      </c>
      <c r="G4" s="18">
        <v>2</v>
      </c>
      <c r="H4" s="18">
        <v>2</v>
      </c>
      <c r="I4" s="6"/>
      <c r="M4" s="35" t="s">
        <v>40</v>
      </c>
      <c r="N4" s="35" t="s">
        <v>41</v>
      </c>
      <c r="O4" s="35">
        <v>18</v>
      </c>
      <c r="P4" s="35">
        <v>14</v>
      </c>
      <c r="Q4" s="35">
        <v>20</v>
      </c>
      <c r="R4" s="35">
        <v>22</v>
      </c>
      <c r="S4" s="35" t="str">
        <f>HLOOKUP(LEFT(M4,1),$N$18:$P$19,2,FALSE)&amp;"("&amp;HLOOKUP(VALUE(RIGHT(M4,1)),$S$18:$U$20,3,TRUE)&amp;")"</f>
        <v>영어(필수)</v>
      </c>
      <c r="T4" s="27"/>
      <c r="U4" s="27"/>
      <c r="V4" s="27"/>
    </row>
    <row r="5" spans="2:22" customFormat="1">
      <c r="B5" s="16" t="s">
        <v>42</v>
      </c>
      <c r="C5" s="19">
        <v>-500000</v>
      </c>
      <c r="D5" s="19">
        <v>-600000</v>
      </c>
      <c r="E5" s="19">
        <v>-800000</v>
      </c>
      <c r="F5" s="19">
        <v>-900000</v>
      </c>
      <c r="G5" s="19">
        <v>-1000000</v>
      </c>
      <c r="H5" s="19">
        <v>-1100000</v>
      </c>
      <c r="I5" s="6"/>
      <c r="M5" s="35" t="s">
        <v>40</v>
      </c>
      <c r="N5" s="35" t="s">
        <v>41</v>
      </c>
      <c r="O5" s="35">
        <v>16</v>
      </c>
      <c r="P5" s="35">
        <v>16</v>
      </c>
      <c r="Q5" s="35">
        <v>22</v>
      </c>
      <c r="R5" s="35">
        <v>26</v>
      </c>
      <c r="S5" s="35" t="str">
        <f t="shared" ref="S5:S15" si="0">HLOOKUP(LEFT(M5,1),$N$18:$P$19,2,FALSE)&amp;"("&amp;HLOOKUP(VALUE(RIGHT(M5,1)),$S$18:$U$20,3,TRUE)&amp;")"</f>
        <v>영어(필수)</v>
      </c>
      <c r="T5" s="27"/>
      <c r="U5" s="27"/>
      <c r="V5" s="27"/>
    </row>
    <row r="6" spans="2:22" customFormat="1">
      <c r="B6" s="20" t="s">
        <v>43</v>
      </c>
      <c r="C6" s="21">
        <f>IF(PV(C3/12,C4*12,C5)&gt;=20000000,"한도초과",ROUND(PV(C3/12,C4*12,C5),-3))</f>
        <v>11754000</v>
      </c>
      <c r="D6" s="21">
        <f t="shared" ref="D6:H6" si="1">IF(PV(D3/12,D4*12,D5)&gt;=20000000,"한도초과",ROUND(PV(D3/12,D4*12,D5),-3))</f>
        <v>13960000</v>
      </c>
      <c r="E6" s="21">
        <f t="shared" si="1"/>
        <v>18423000</v>
      </c>
      <c r="F6" s="21" t="str">
        <f t="shared" si="1"/>
        <v>한도초과</v>
      </c>
      <c r="G6" s="21" t="str">
        <f t="shared" si="1"/>
        <v>한도초과</v>
      </c>
      <c r="H6" s="21" t="str">
        <f t="shared" si="1"/>
        <v>한도초과</v>
      </c>
      <c r="I6" s="6"/>
      <c r="M6" s="35" t="s">
        <v>40</v>
      </c>
      <c r="N6" s="35" t="s">
        <v>41</v>
      </c>
      <c r="O6" s="35">
        <v>20</v>
      </c>
      <c r="P6" s="35">
        <v>16</v>
      </c>
      <c r="Q6" s="35">
        <v>28</v>
      </c>
      <c r="R6" s="35">
        <v>28</v>
      </c>
      <c r="S6" s="35" t="str">
        <f t="shared" si="0"/>
        <v>영어(필수)</v>
      </c>
      <c r="T6" s="27"/>
      <c r="U6" s="27"/>
      <c r="V6" s="27"/>
    </row>
    <row r="7" spans="2:22">
      <c r="B7" s="6"/>
      <c r="C7" s="6"/>
      <c r="D7" s="6"/>
      <c r="E7" s="6"/>
      <c r="F7" s="6"/>
      <c r="G7" s="6"/>
      <c r="H7" s="6"/>
      <c r="M7" s="35" t="s">
        <v>40</v>
      </c>
      <c r="N7" s="35" t="s">
        <v>44</v>
      </c>
      <c r="O7" s="35">
        <v>18</v>
      </c>
      <c r="P7" s="35">
        <v>12</v>
      </c>
      <c r="Q7" s="35">
        <v>30</v>
      </c>
      <c r="R7" s="35">
        <v>24</v>
      </c>
      <c r="S7" s="35" t="str">
        <f t="shared" si="0"/>
        <v>영어(필수)</v>
      </c>
      <c r="T7" s="27"/>
      <c r="U7" s="27"/>
      <c r="V7" s="27"/>
    </row>
    <row r="8" spans="2:22">
      <c r="M8" s="35" t="s">
        <v>45</v>
      </c>
      <c r="N8" s="35" t="s">
        <v>44</v>
      </c>
      <c r="O8" s="35">
        <v>14</v>
      </c>
      <c r="P8" s="35">
        <v>20</v>
      </c>
      <c r="Q8" s="35">
        <v>28</v>
      </c>
      <c r="R8" s="35">
        <v>30</v>
      </c>
      <c r="S8" s="35" t="str">
        <f t="shared" si="0"/>
        <v>수학(교양)</v>
      </c>
      <c r="T8" s="27"/>
      <c r="U8" s="27"/>
      <c r="V8" s="27"/>
    </row>
    <row r="9" spans="2:22">
      <c r="M9" s="35" t="s">
        <v>45</v>
      </c>
      <c r="N9" s="35" t="s">
        <v>44</v>
      </c>
      <c r="O9" s="35">
        <v>12</v>
      </c>
      <c r="P9" s="35">
        <v>18</v>
      </c>
      <c r="Q9" s="35">
        <v>28</v>
      </c>
      <c r="R9" s="35">
        <v>28</v>
      </c>
      <c r="S9" s="35" t="str">
        <f t="shared" si="0"/>
        <v>수학(교양)</v>
      </c>
      <c r="T9" s="27"/>
      <c r="U9" s="27"/>
      <c r="V9" s="27"/>
    </row>
    <row r="10" spans="2:22">
      <c r="M10" s="35" t="s">
        <v>46</v>
      </c>
      <c r="N10" s="35" t="s">
        <v>44</v>
      </c>
      <c r="O10" s="35">
        <v>12</v>
      </c>
      <c r="P10" s="35">
        <v>14</v>
      </c>
      <c r="Q10" s="35">
        <v>24</v>
      </c>
      <c r="R10" s="35">
        <v>26</v>
      </c>
      <c r="S10" s="35" t="str">
        <f t="shared" si="0"/>
        <v>수학(교양)</v>
      </c>
      <c r="T10" s="27"/>
      <c r="U10" s="27"/>
      <c r="V10" s="27"/>
    </row>
    <row r="11" spans="2:22">
      <c r="B11" s="22" t="s">
        <v>47</v>
      </c>
      <c r="C11" s="22"/>
      <c r="D11" s="22"/>
      <c r="E11"/>
      <c r="F11"/>
      <c r="G11"/>
      <c r="M11" s="35" t="s">
        <v>46</v>
      </c>
      <c r="N11" s="35" t="s">
        <v>41</v>
      </c>
      <c r="O11" s="35">
        <v>14</v>
      </c>
      <c r="P11" s="35">
        <v>20</v>
      </c>
      <c r="Q11" s="35">
        <v>22</v>
      </c>
      <c r="R11" s="35">
        <v>24</v>
      </c>
      <c r="S11" s="35" t="str">
        <f t="shared" si="0"/>
        <v>수학(교양)</v>
      </c>
      <c r="T11" s="27"/>
      <c r="U11" s="27"/>
      <c r="V11" s="27"/>
    </row>
    <row r="12" spans="2:22">
      <c r="B12" s="12" t="s">
        <v>48</v>
      </c>
      <c r="C12" s="12" t="s">
        <v>49</v>
      </c>
      <c r="D12" s="12" t="s">
        <v>50</v>
      </c>
      <c r="E12" s="12" t="s">
        <v>51</v>
      </c>
      <c r="F12" s="12" t="s">
        <v>52</v>
      </c>
      <c r="G12" s="12" t="s">
        <v>53</v>
      </c>
      <c r="M12" s="35" t="s">
        <v>54</v>
      </c>
      <c r="N12" s="35" t="s">
        <v>41</v>
      </c>
      <c r="O12" s="35">
        <v>16</v>
      </c>
      <c r="P12" s="35">
        <v>18</v>
      </c>
      <c r="Q12" s="35">
        <v>26</v>
      </c>
      <c r="R12" s="35">
        <v>22</v>
      </c>
      <c r="S12" s="35" t="str">
        <f t="shared" si="0"/>
        <v>국어(전공)</v>
      </c>
      <c r="T12" s="27"/>
      <c r="U12" s="27"/>
      <c r="V12" s="27"/>
    </row>
    <row r="13" spans="2:22">
      <c r="B13" s="12">
        <v>123</v>
      </c>
      <c r="C13" s="12" t="s">
        <v>55</v>
      </c>
      <c r="D13" s="12">
        <v>80</v>
      </c>
      <c r="E13" s="12">
        <v>79</v>
      </c>
      <c r="F13" s="12" t="s">
        <v>56</v>
      </c>
      <c r="G13" s="12" t="s">
        <v>57</v>
      </c>
      <c r="M13" s="35" t="s">
        <v>58</v>
      </c>
      <c r="N13" s="35" t="s">
        <v>44</v>
      </c>
      <c r="O13" s="35">
        <v>18</v>
      </c>
      <c r="P13" s="35">
        <v>14</v>
      </c>
      <c r="Q13" s="35">
        <v>28</v>
      </c>
      <c r="R13" s="35">
        <v>28</v>
      </c>
      <c r="S13" s="35" t="str">
        <f t="shared" si="0"/>
        <v>국어(전공)</v>
      </c>
      <c r="T13" s="27"/>
      <c r="U13" s="27"/>
      <c r="V13" s="27"/>
    </row>
    <row r="14" spans="2:22">
      <c r="B14" s="12">
        <v>456</v>
      </c>
      <c r="C14" s="12" t="s">
        <v>59</v>
      </c>
      <c r="D14" s="12">
        <v>78</v>
      </c>
      <c r="E14" s="12">
        <v>56</v>
      </c>
      <c r="F14" s="12" t="s">
        <v>60</v>
      </c>
      <c r="G14" s="12"/>
      <c r="M14" s="35" t="s">
        <v>58</v>
      </c>
      <c r="N14" s="35" t="s">
        <v>44</v>
      </c>
      <c r="O14" s="35">
        <v>20</v>
      </c>
      <c r="P14" s="35">
        <v>16</v>
      </c>
      <c r="Q14" s="35">
        <v>26</v>
      </c>
      <c r="R14" s="35">
        <v>26</v>
      </c>
      <c r="S14" s="35" t="str">
        <f t="shared" si="0"/>
        <v>국어(전공)</v>
      </c>
      <c r="T14" s="27"/>
      <c r="U14" s="27"/>
      <c r="V14" s="27"/>
    </row>
    <row r="15" spans="2:22">
      <c r="B15" s="12">
        <v>789</v>
      </c>
      <c r="C15" s="12" t="s">
        <v>61</v>
      </c>
      <c r="D15" s="12">
        <v>45</v>
      </c>
      <c r="E15" s="12">
        <v>67</v>
      </c>
      <c r="F15" s="12" t="s">
        <v>56</v>
      </c>
      <c r="G15" s="12" t="s">
        <v>57</v>
      </c>
      <c r="M15" s="35" t="s">
        <v>58</v>
      </c>
      <c r="N15" s="35" t="s">
        <v>41</v>
      </c>
      <c r="O15" s="35">
        <v>14</v>
      </c>
      <c r="P15" s="35">
        <v>18</v>
      </c>
      <c r="Q15" s="35">
        <v>30</v>
      </c>
      <c r="R15" s="35">
        <v>24</v>
      </c>
      <c r="S15" s="35" t="str">
        <f t="shared" si="0"/>
        <v>국어(전공)</v>
      </c>
      <c r="T15" s="27"/>
      <c r="U15" s="27"/>
      <c r="V15" s="27"/>
    </row>
    <row r="16" spans="2:22">
      <c r="B16" s="12">
        <v>134</v>
      </c>
      <c r="C16" s="12" t="s">
        <v>62</v>
      </c>
      <c r="D16" s="12">
        <v>80</v>
      </c>
      <c r="E16" s="12">
        <v>67</v>
      </c>
      <c r="F16" s="12" t="s">
        <v>63</v>
      </c>
      <c r="G16" s="12"/>
      <c r="M16" s="27"/>
      <c r="N16" s="27"/>
      <c r="O16" s="27"/>
      <c r="P16" s="27"/>
      <c r="Q16" s="27"/>
      <c r="R16" s="27"/>
      <c r="S16" s="27"/>
      <c r="T16" s="27"/>
      <c r="U16" s="27"/>
      <c r="V16" s="27"/>
    </row>
    <row r="17" spans="2:22">
      <c r="B17" s="12">
        <v>458</v>
      </c>
      <c r="C17" s="12" t="s">
        <v>64</v>
      </c>
      <c r="D17" s="12">
        <v>55</v>
      </c>
      <c r="E17" s="12">
        <v>54</v>
      </c>
      <c r="F17" s="12" t="s">
        <v>56</v>
      </c>
      <c r="G17" s="12"/>
      <c r="M17" s="27" t="s">
        <v>65</v>
      </c>
      <c r="N17" s="27"/>
      <c r="O17" s="27"/>
      <c r="P17" s="27"/>
      <c r="Q17" s="27"/>
      <c r="R17" s="27" t="s">
        <v>66</v>
      </c>
      <c r="S17" s="27"/>
      <c r="T17" s="27"/>
      <c r="U17" s="27"/>
      <c r="V17" s="27"/>
    </row>
    <row r="18" spans="2:22">
      <c r="B18" s="23"/>
      <c r="C18" s="23"/>
      <c r="D18" s="22"/>
      <c r="E18"/>
      <c r="F18"/>
      <c r="G18"/>
      <c r="M18" s="5" t="s">
        <v>32</v>
      </c>
      <c r="N18" s="5" t="s">
        <v>67</v>
      </c>
      <c r="O18" s="5" t="s">
        <v>68</v>
      </c>
      <c r="P18" s="5" t="s">
        <v>69</v>
      </c>
      <c r="Q18" s="36"/>
      <c r="R18" s="88" t="s">
        <v>70</v>
      </c>
      <c r="S18" s="37">
        <v>1</v>
      </c>
      <c r="T18" s="37">
        <v>5</v>
      </c>
      <c r="U18" s="37">
        <v>7</v>
      </c>
      <c r="V18" s="27"/>
    </row>
    <row r="19" spans="2:22">
      <c r="B19" s="23"/>
      <c r="C19" s="23"/>
      <c r="D19" s="24" t="s">
        <v>71</v>
      </c>
      <c r="E19" s="86" t="s">
        <v>72</v>
      </c>
      <c r="F19" s="86"/>
      <c r="G19" s="86"/>
      <c r="M19" s="5"/>
      <c r="N19" s="5" t="s">
        <v>73</v>
      </c>
      <c r="O19" s="5" t="s">
        <v>74</v>
      </c>
      <c r="P19" s="5" t="s">
        <v>75</v>
      </c>
      <c r="Q19" s="36"/>
      <c r="R19" s="89"/>
      <c r="S19" s="38">
        <v>4</v>
      </c>
      <c r="T19" s="38">
        <v>6</v>
      </c>
      <c r="U19" s="38">
        <v>10</v>
      </c>
      <c r="V19" s="27"/>
    </row>
    <row r="20" spans="2:22">
      <c r="B20" s="22"/>
      <c r="C20" s="22"/>
      <c r="D20" s="26" t="b">
        <f>AND(ABS(D13-E13)&gt;=10,F13="A")</f>
        <v>0</v>
      </c>
      <c r="E20" s="87" t="str">
        <f>REPT("★",DCOUNT(B12:G17,B12,D19:D20))</f>
        <v>★</v>
      </c>
      <c r="F20" s="87"/>
      <c r="G20" s="87"/>
      <c r="M20" s="27"/>
      <c r="N20" s="27"/>
      <c r="O20" s="27"/>
      <c r="P20" s="27"/>
      <c r="Q20" s="27"/>
      <c r="R20" s="5"/>
      <c r="S20" s="5" t="s">
        <v>76</v>
      </c>
      <c r="T20" s="5" t="s">
        <v>77</v>
      </c>
      <c r="U20" s="5" t="s">
        <v>78</v>
      </c>
      <c r="V20" s="27"/>
    </row>
    <row r="21" spans="2:22">
      <c r="B21" s="22"/>
      <c r="C21" s="22"/>
      <c r="D21" s="22"/>
      <c r="E21"/>
      <c r="F21"/>
      <c r="G21"/>
      <c r="M21" s="27"/>
      <c r="N21" s="27"/>
      <c r="O21" s="27"/>
      <c r="P21" s="27"/>
      <c r="Q21" s="27"/>
      <c r="R21" s="39"/>
      <c r="S21" s="39"/>
      <c r="T21" s="39"/>
      <c r="U21" s="39"/>
      <c r="V21" s="27"/>
    </row>
    <row r="25" spans="2:22">
      <c r="B25" s="27" t="s">
        <v>79</v>
      </c>
      <c r="C25" s="27"/>
      <c r="D25" s="27"/>
      <c r="E25" s="27"/>
      <c r="F25" s="27" t="s">
        <v>80</v>
      </c>
      <c r="G25" s="27"/>
      <c r="M25" s="6" t="s">
        <v>81</v>
      </c>
      <c r="N25" s="6"/>
      <c r="O25" s="6"/>
      <c r="P25" s="6"/>
      <c r="Q25" s="6"/>
      <c r="R25" s="6"/>
      <c r="S25" s="6"/>
      <c r="T25" s="6"/>
    </row>
    <row r="26" spans="2:22">
      <c r="B26" s="28" t="s">
        <v>82</v>
      </c>
      <c r="C26" s="28" t="s">
        <v>83</v>
      </c>
      <c r="D26" s="28" t="s">
        <v>84</v>
      </c>
      <c r="E26" s="27"/>
      <c r="F26" s="28" t="s">
        <v>82</v>
      </c>
      <c r="G26" s="29" t="s">
        <v>85</v>
      </c>
      <c r="M26" s="13" t="s">
        <v>86</v>
      </c>
      <c r="N26" s="13" t="s">
        <v>87</v>
      </c>
      <c r="O26" s="13" t="s">
        <v>88</v>
      </c>
      <c r="P26" s="44" t="s">
        <v>89</v>
      </c>
      <c r="Q26" s="44" t="s">
        <v>90</v>
      </c>
      <c r="R26" s="45" t="s">
        <v>91</v>
      </c>
    </row>
    <row r="27" spans="2:22">
      <c r="B27" s="28" t="s">
        <v>92</v>
      </c>
      <c r="C27" s="33">
        <v>100000</v>
      </c>
      <c r="D27" s="28">
        <v>12</v>
      </c>
      <c r="E27" s="30"/>
      <c r="F27" s="28" t="s">
        <v>93</v>
      </c>
      <c r="G27" s="31" t="str">
        <f t="array" ref="G27">COUNT(IF(($C$27:$C$38*$D$27:$D$38&gt;=1000000)*(F27=$B$27:$B$38),1))&amp;"건"</f>
        <v>2건</v>
      </c>
      <c r="M27" s="16" t="s">
        <v>94</v>
      </c>
      <c r="N27" s="16" t="s">
        <v>95</v>
      </c>
      <c r="O27" s="40">
        <v>2</v>
      </c>
      <c r="P27" s="40">
        <v>18000</v>
      </c>
      <c r="Q27" s="41" t="s">
        <v>96</v>
      </c>
      <c r="R27" s="42" cm="1">
        <f t="array" ref="R27">fn배달금액(O27,P27,Q27)</f>
        <v>0</v>
      </c>
    </row>
    <row r="28" spans="2:22">
      <c r="B28" s="28" t="s">
        <v>97</v>
      </c>
      <c r="C28" s="33">
        <v>22000</v>
      </c>
      <c r="D28" s="28">
        <v>13</v>
      </c>
      <c r="E28" s="30"/>
      <c r="F28" s="28" t="s">
        <v>92</v>
      </c>
      <c r="G28" s="31" t="str">
        <f t="array" ref="G28">COUNT(IF(($C$27:$C$38*$D$27:$D$38&gt;=1000000)*(F28=$B$27:$B$38),1))&amp;"건"</f>
        <v>3건</v>
      </c>
      <c r="M28" s="16" t="s">
        <v>98</v>
      </c>
      <c r="N28" s="16" t="s">
        <v>99</v>
      </c>
      <c r="O28" s="40">
        <v>4</v>
      </c>
      <c r="P28" s="40">
        <v>8900</v>
      </c>
      <c r="Q28" s="43" t="s">
        <v>100</v>
      </c>
      <c r="R28" s="42" cm="1">
        <f t="array" ref="R28">fn배달금액(O28,P28,Q28)</f>
        <v>12000</v>
      </c>
    </row>
    <row r="29" spans="2:22">
      <c r="B29" s="28" t="s">
        <v>92</v>
      </c>
      <c r="C29" s="33">
        <v>1000000</v>
      </c>
      <c r="D29" s="28">
        <v>14</v>
      </c>
      <c r="E29" s="30"/>
      <c r="F29" s="5" t="s">
        <v>101</v>
      </c>
      <c r="G29" s="31" t="str">
        <f t="array" ref="G29">COUNT(IF(($C$27:$C$38*$D$27:$D$38&gt;=1000000)*(F29=$B$27:$B$38),1))&amp;"건"</f>
        <v>3건</v>
      </c>
      <c r="M29" s="16" t="s">
        <v>102</v>
      </c>
      <c r="N29" s="16" t="s">
        <v>95</v>
      </c>
      <c r="O29" s="40">
        <v>1</v>
      </c>
      <c r="P29" s="40">
        <v>20000</v>
      </c>
      <c r="Q29" s="43" t="s">
        <v>96</v>
      </c>
      <c r="R29" s="42" cm="1">
        <f t="array" ref="R29">fn배달금액(O29,P29,Q29)</f>
        <v>3000</v>
      </c>
    </row>
    <row r="30" spans="2:22">
      <c r="B30" s="28" t="s">
        <v>103</v>
      </c>
      <c r="C30" s="33">
        <v>44000</v>
      </c>
      <c r="D30" s="28">
        <v>120</v>
      </c>
      <c r="E30" s="30"/>
      <c r="F30" s="5" t="s">
        <v>104</v>
      </c>
      <c r="G30" s="31" t="str">
        <f t="array" ref="G30">COUNT(IF(($C$27:$C$38*$D$27:$D$38&gt;=1000000)*(F30=$B$27:$B$38),1))&amp;"건"</f>
        <v>1건</v>
      </c>
      <c r="M30" s="16" t="s">
        <v>105</v>
      </c>
      <c r="N30" s="16" t="s">
        <v>99</v>
      </c>
      <c r="O30" s="40">
        <v>1</v>
      </c>
      <c r="P30" s="40">
        <v>79000</v>
      </c>
      <c r="Q30" s="43" t="s">
        <v>106</v>
      </c>
      <c r="R30" s="42" cm="1">
        <f t="array" ref="R30">fn배달금액(O30,P30,Q30)</f>
        <v>0</v>
      </c>
    </row>
    <row r="31" spans="2:22">
      <c r="B31" s="5" t="s">
        <v>107</v>
      </c>
      <c r="C31" s="34">
        <v>100000</v>
      </c>
      <c r="D31" s="5">
        <v>20</v>
      </c>
      <c r="E31" s="30"/>
      <c r="F31" s="27"/>
      <c r="G31" s="32"/>
      <c r="M31" s="16" t="s">
        <v>108</v>
      </c>
      <c r="N31" s="16" t="s">
        <v>109</v>
      </c>
      <c r="O31" s="40">
        <v>2</v>
      </c>
      <c r="P31" s="40">
        <v>7900</v>
      </c>
      <c r="Q31" s="43" t="s">
        <v>96</v>
      </c>
      <c r="R31" s="42" cm="1">
        <f t="array" ref="R31">fn배달금액(O31,P31,Q31)</f>
        <v>3000</v>
      </c>
    </row>
    <row r="32" spans="2:22">
      <c r="B32" s="5" t="s">
        <v>101</v>
      </c>
      <c r="C32" s="33">
        <v>22000</v>
      </c>
      <c r="D32" s="5">
        <v>50</v>
      </c>
      <c r="E32" s="30"/>
      <c r="F32" s="27"/>
      <c r="G32" s="32"/>
      <c r="M32" s="16" t="s">
        <v>110</v>
      </c>
      <c r="N32" s="16" t="s">
        <v>95</v>
      </c>
      <c r="O32" s="40">
        <v>19</v>
      </c>
      <c r="P32" s="40">
        <v>25000</v>
      </c>
      <c r="Q32" s="43" t="s">
        <v>96</v>
      </c>
      <c r="R32" s="42" cm="1">
        <f t="array" ref="R32">fn배달금액(O32,P32,Q32)</f>
        <v>0</v>
      </c>
    </row>
    <row r="33" spans="2:18">
      <c r="B33" s="28" t="s">
        <v>92</v>
      </c>
      <c r="C33" s="33">
        <v>100000</v>
      </c>
      <c r="D33" s="5">
        <v>9</v>
      </c>
      <c r="E33" s="30"/>
      <c r="F33" s="27"/>
      <c r="G33" s="32"/>
      <c r="M33" s="16" t="s">
        <v>111</v>
      </c>
      <c r="N33" s="16" t="s">
        <v>109</v>
      </c>
      <c r="O33" s="40">
        <v>2</v>
      </c>
      <c r="P33" s="40">
        <v>13000</v>
      </c>
      <c r="Q33" s="43" t="s">
        <v>100</v>
      </c>
      <c r="R33" s="42" cm="1">
        <f t="array" ref="R33">fn배달금액(O33,P33,Q33)</f>
        <v>12000</v>
      </c>
    </row>
    <row r="34" spans="2:18">
      <c r="B34" s="28" t="s">
        <v>97</v>
      </c>
      <c r="C34" s="33">
        <v>22000</v>
      </c>
      <c r="D34" s="5">
        <v>100</v>
      </c>
      <c r="E34" s="30"/>
      <c r="F34" s="27"/>
      <c r="G34" s="32"/>
      <c r="M34" s="16" t="s">
        <v>112</v>
      </c>
      <c r="N34" s="16" t="s">
        <v>109</v>
      </c>
      <c r="O34" s="40">
        <v>4</v>
      </c>
      <c r="P34" s="40">
        <v>69000</v>
      </c>
      <c r="Q34" s="43" t="s">
        <v>100</v>
      </c>
      <c r="R34" s="42" cm="1">
        <f t="array" ref="R34">fn배달금액(O34,P34,Q34)</f>
        <v>12000</v>
      </c>
    </row>
    <row r="35" spans="2:18">
      <c r="B35" s="28" t="s">
        <v>92</v>
      </c>
      <c r="C35" s="33">
        <v>1000000</v>
      </c>
      <c r="D35" s="5">
        <v>50</v>
      </c>
      <c r="E35" s="30"/>
      <c r="F35" s="27"/>
      <c r="G35" s="32"/>
      <c r="M35" s="16" t="s">
        <v>113</v>
      </c>
      <c r="N35" s="16" t="s">
        <v>99</v>
      </c>
      <c r="O35" s="40">
        <v>2</v>
      </c>
      <c r="P35" s="40">
        <v>15000</v>
      </c>
      <c r="Q35" s="43" t="s">
        <v>96</v>
      </c>
      <c r="R35" s="42" cm="1">
        <f t="array" ref="R35">fn배달금액(O35,P35,Q35)</f>
        <v>0</v>
      </c>
    </row>
    <row r="36" spans="2:18">
      <c r="B36" s="28" t="s">
        <v>103</v>
      </c>
      <c r="C36" s="33">
        <v>44000</v>
      </c>
      <c r="D36" s="5">
        <v>5</v>
      </c>
      <c r="E36" s="30"/>
      <c r="F36" s="27"/>
      <c r="G36" s="32"/>
      <c r="M36" s="16" t="s">
        <v>114</v>
      </c>
      <c r="N36" s="16" t="s">
        <v>99</v>
      </c>
      <c r="O36" s="40">
        <v>3</v>
      </c>
      <c r="P36" s="40">
        <v>79000</v>
      </c>
      <c r="Q36" s="43" t="s">
        <v>100</v>
      </c>
      <c r="R36" s="42" cm="1">
        <f t="array" ref="R36">fn배달금액(O36,P36,Q36)</f>
        <v>12000</v>
      </c>
    </row>
    <row r="37" spans="2:18">
      <c r="B37" s="5" t="s">
        <v>107</v>
      </c>
      <c r="C37" s="34">
        <v>100000</v>
      </c>
      <c r="D37" s="5">
        <v>10</v>
      </c>
      <c r="E37" s="30"/>
      <c r="F37" s="27"/>
      <c r="G37" s="32"/>
      <c r="M37" s="16" t="s">
        <v>115</v>
      </c>
      <c r="N37" s="16" t="s">
        <v>109</v>
      </c>
      <c r="O37" s="40">
        <v>15</v>
      </c>
      <c r="P37" s="40">
        <v>19000</v>
      </c>
      <c r="Q37" s="43" t="s">
        <v>100</v>
      </c>
      <c r="R37" s="42" cm="1">
        <f t="array" ref="R37">fn배달금액(O37,P37,Q37)</f>
        <v>12000</v>
      </c>
    </row>
    <row r="38" spans="2:18">
      <c r="B38" s="5" t="s">
        <v>101</v>
      </c>
      <c r="C38" s="33">
        <v>22000</v>
      </c>
      <c r="D38" s="5">
        <v>200</v>
      </c>
      <c r="E38" s="30"/>
      <c r="F38" s="27"/>
      <c r="G38" s="32"/>
      <c r="M38" s="16" t="s">
        <v>116</v>
      </c>
      <c r="N38" s="16" t="s">
        <v>95</v>
      </c>
      <c r="O38" s="40">
        <v>1</v>
      </c>
      <c r="P38" s="40">
        <v>25000</v>
      </c>
      <c r="Q38" s="43" t="s">
        <v>96</v>
      </c>
      <c r="R38" s="42" cm="1">
        <f t="array" ref="R38">fn배달금액(O38,P38,Q38)</f>
        <v>3000</v>
      </c>
    </row>
    <row r="39" spans="2:18">
      <c r="B39" s="27"/>
      <c r="C39" s="27"/>
      <c r="D39" s="27"/>
      <c r="E39" s="27"/>
      <c r="F39" s="27"/>
      <c r="G39" s="27"/>
      <c r="M39" s="16" t="s">
        <v>117</v>
      </c>
      <c r="N39" s="16" t="s">
        <v>109</v>
      </c>
      <c r="O39" s="40">
        <v>5</v>
      </c>
      <c r="P39" s="40">
        <v>13000</v>
      </c>
      <c r="Q39" s="43" t="s">
        <v>106</v>
      </c>
      <c r="R39" s="42" cm="1">
        <f t="array" ref="R39">fn배달금액(O39,P39,Q39)</f>
        <v>0</v>
      </c>
    </row>
    <row r="40" spans="2:18">
      <c r="M40" s="16" t="s">
        <v>118</v>
      </c>
      <c r="N40" s="16" t="s">
        <v>95</v>
      </c>
      <c r="O40" s="40">
        <v>1</v>
      </c>
      <c r="P40" s="40">
        <v>18000</v>
      </c>
      <c r="Q40" s="43" t="s">
        <v>96</v>
      </c>
      <c r="R40" s="42" cm="1">
        <f t="array" ref="R40">fn배달금액(O40,P40,Q40)</f>
        <v>3000</v>
      </c>
    </row>
    <row r="41" spans="2:18">
      <c r="M41" s="16" t="s">
        <v>119</v>
      </c>
      <c r="N41" s="16" t="s">
        <v>99</v>
      </c>
      <c r="O41" s="40">
        <v>1</v>
      </c>
      <c r="P41" s="40">
        <v>8900</v>
      </c>
      <c r="Q41" s="43" t="s">
        <v>96</v>
      </c>
      <c r="R41" s="42" cm="1">
        <f t="array" ref="R41">fn배달금액(O41,P41,Q41)</f>
        <v>3000</v>
      </c>
    </row>
    <row r="42" spans="2:18">
      <c r="M42" s="16" t="s">
        <v>120</v>
      </c>
      <c r="N42" s="16" t="s">
        <v>109</v>
      </c>
      <c r="O42" s="40">
        <v>1</v>
      </c>
      <c r="P42" s="40">
        <v>7900</v>
      </c>
      <c r="Q42" s="43" t="s">
        <v>96</v>
      </c>
      <c r="R42" s="42" cm="1">
        <f t="array" ref="R42">fn배달금액(O42,P42,Q42)</f>
        <v>3000</v>
      </c>
    </row>
    <row r="43" spans="2:18">
      <c r="M43" s="16" t="s">
        <v>121</v>
      </c>
      <c r="N43" s="16" t="s">
        <v>99</v>
      </c>
      <c r="O43" s="40">
        <v>10</v>
      </c>
      <c r="P43" s="40">
        <v>79000</v>
      </c>
      <c r="Q43" s="43" t="s">
        <v>96</v>
      </c>
      <c r="R43" s="42" cm="1">
        <f t="array" ref="R43">fn배달금액(O43,P43,Q43)</f>
        <v>0</v>
      </c>
    </row>
    <row r="44" spans="2:18">
      <c r="M44" s="16" t="s">
        <v>122</v>
      </c>
      <c r="N44" s="16" t="s">
        <v>109</v>
      </c>
      <c r="O44" s="40">
        <v>10</v>
      </c>
      <c r="P44" s="40">
        <v>7900</v>
      </c>
      <c r="Q44" s="43" t="s">
        <v>96</v>
      </c>
      <c r="R44" s="42" cm="1">
        <f t="array" ref="R44">fn배달금액(O44,P44,Q44)</f>
        <v>0</v>
      </c>
    </row>
    <row r="45" spans="2:18">
      <c r="M45" s="16" t="s">
        <v>123</v>
      </c>
      <c r="N45" s="16" t="s">
        <v>95</v>
      </c>
      <c r="O45" s="40">
        <v>3</v>
      </c>
      <c r="P45" s="40">
        <v>18000</v>
      </c>
      <c r="Q45" s="43" t="s">
        <v>100</v>
      </c>
      <c r="R45" s="42" cm="1">
        <f t="array" ref="R45">fn배달금액(O45,P45,Q45)</f>
        <v>12000</v>
      </c>
    </row>
    <row r="46" spans="2:18">
      <c r="M46" s="16" t="s">
        <v>124</v>
      </c>
      <c r="N46" s="16" t="s">
        <v>95</v>
      </c>
      <c r="O46" s="40">
        <v>2</v>
      </c>
      <c r="P46" s="40">
        <v>8900</v>
      </c>
      <c r="Q46" s="43" t="s">
        <v>96</v>
      </c>
      <c r="R46" s="42" cm="1">
        <f t="array" ref="R46">fn배달금액(O46,P46,Q46)</f>
        <v>3000</v>
      </c>
    </row>
    <row r="47" spans="2:18">
      <c r="M47" s="16" t="s">
        <v>125</v>
      </c>
      <c r="N47" s="16" t="s">
        <v>95</v>
      </c>
      <c r="O47" s="40">
        <v>20</v>
      </c>
      <c r="P47" s="40">
        <v>20000</v>
      </c>
      <c r="Q47" s="43" t="s">
        <v>96</v>
      </c>
      <c r="R47" s="42" cm="1">
        <f t="array" ref="R47">fn배달금액(O47,P47,Q47)</f>
        <v>0</v>
      </c>
    </row>
    <row r="48" spans="2:18">
      <c r="M48" s="16" t="s">
        <v>126</v>
      </c>
      <c r="N48" s="16" t="s">
        <v>109</v>
      </c>
      <c r="O48" s="40">
        <v>2</v>
      </c>
      <c r="P48" s="40">
        <v>7900</v>
      </c>
      <c r="Q48" s="43" t="s">
        <v>96</v>
      </c>
      <c r="R48" s="42" cm="1">
        <f t="array" ref="R48">fn배달금액(O48,P48,Q48)</f>
        <v>3000</v>
      </c>
    </row>
    <row r="49" spans="13:18">
      <c r="M49" s="16" t="s">
        <v>127</v>
      </c>
      <c r="N49" s="16" t="s">
        <v>95</v>
      </c>
      <c r="O49" s="40">
        <v>12</v>
      </c>
      <c r="P49" s="40">
        <v>20000</v>
      </c>
      <c r="Q49" s="43" t="s">
        <v>100</v>
      </c>
      <c r="R49" s="42" cm="1">
        <f t="array" ref="R49">fn배달금액(O49,P49,Q49)</f>
        <v>12000</v>
      </c>
    </row>
    <row r="50" spans="13:18">
      <c r="M50" s="16" t="s">
        <v>128</v>
      </c>
      <c r="N50" s="16" t="s">
        <v>109</v>
      </c>
      <c r="O50" s="40">
        <v>4</v>
      </c>
      <c r="P50" s="40">
        <v>12000</v>
      </c>
      <c r="Q50" s="43" t="s">
        <v>96</v>
      </c>
      <c r="R50" s="42" cm="1">
        <f t="array" ref="R50">fn배달금액(O50,P50,Q50)</f>
        <v>0</v>
      </c>
    </row>
    <row r="51" spans="13:18">
      <c r="M51" s="16" t="s">
        <v>129</v>
      </c>
      <c r="N51" s="16" t="s">
        <v>109</v>
      </c>
      <c r="O51" s="40">
        <v>3</v>
      </c>
      <c r="P51" s="40">
        <v>19000</v>
      </c>
      <c r="Q51" s="43" t="s">
        <v>100</v>
      </c>
      <c r="R51" s="42" cm="1">
        <f t="array" ref="R51">fn배달금액(O51,P51,Q51)</f>
        <v>12000</v>
      </c>
    </row>
    <row r="52" spans="13:18">
      <c r="R52" s="42"/>
    </row>
    <row r="53" spans="13:18">
      <c r="R53" s="42"/>
    </row>
  </sheetData>
  <mergeCells count="3">
    <mergeCell ref="E19:G19"/>
    <mergeCell ref="E20:G20"/>
    <mergeCell ref="R18:R1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S30"/>
  <sheetViews>
    <sheetView workbookViewId="0">
      <selection activeCell="F21" sqref="F21"/>
    </sheetView>
  </sheetViews>
  <sheetFormatPr defaultColWidth="9" defaultRowHeight="17.399999999999999"/>
  <cols>
    <col min="1" max="1" width="9" style="6"/>
    <col min="2" max="2" width="11.296875" style="6" bestFit="1" customWidth="1"/>
    <col min="3" max="3" width="10.59765625" style="6" bestFit="1" customWidth="1"/>
    <col min="4" max="4" width="10.19921875" style="6" bestFit="1" customWidth="1"/>
    <col min="5" max="5" width="12.19921875" style="6" bestFit="1" customWidth="1"/>
    <col min="6" max="6" width="14.09765625" style="6" bestFit="1" customWidth="1"/>
    <col min="7" max="9" width="4.3984375" style="6" bestFit="1" customWidth="1"/>
    <col min="10" max="13" width="5.3984375" style="6" bestFit="1" customWidth="1"/>
    <col min="14" max="18" width="6.3984375" style="6" bestFit="1" customWidth="1"/>
    <col min="19" max="19" width="6.796875" style="6" bestFit="1" customWidth="1"/>
    <col min="20" max="16384" width="9" style="6"/>
  </cols>
  <sheetData>
    <row r="3" spans="2:19">
      <c r="B3"/>
      <c r="C3"/>
      <c r="D3" s="103" t="s">
        <v>269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</row>
    <row r="4" spans="2:19">
      <c r="B4" s="103" t="s">
        <v>263</v>
      </c>
      <c r="C4" s="103" t="s">
        <v>195</v>
      </c>
      <c r="D4" t="s">
        <v>261</v>
      </c>
      <c r="E4" t="s">
        <v>262</v>
      </c>
      <c r="F4" t="s">
        <v>268</v>
      </c>
      <c r="G4"/>
      <c r="H4"/>
      <c r="I4"/>
      <c r="J4"/>
      <c r="K4"/>
      <c r="L4"/>
      <c r="M4"/>
      <c r="N4"/>
      <c r="O4"/>
      <c r="P4"/>
      <c r="Q4"/>
      <c r="R4"/>
      <c r="S4"/>
    </row>
    <row r="5" spans="2:19">
      <c r="B5" t="s">
        <v>264</v>
      </c>
      <c r="C5"/>
      <c r="D5" s="104"/>
      <c r="E5" s="104"/>
      <c r="F5" s="105"/>
      <c r="G5"/>
      <c r="H5"/>
      <c r="I5"/>
      <c r="J5"/>
      <c r="K5"/>
      <c r="L5"/>
      <c r="M5"/>
      <c r="N5"/>
      <c r="O5"/>
      <c r="P5"/>
      <c r="Q5"/>
      <c r="R5"/>
      <c r="S5"/>
    </row>
    <row r="6" spans="2:19">
      <c r="B6"/>
      <c r="C6" t="s">
        <v>256</v>
      </c>
      <c r="D6" s="104">
        <v>83180</v>
      </c>
      <c r="E6" s="104">
        <v>209</v>
      </c>
      <c r="F6" s="105">
        <v>0.30821105676597005</v>
      </c>
      <c r="G6"/>
      <c r="H6"/>
      <c r="I6"/>
      <c r="J6"/>
      <c r="K6"/>
      <c r="L6"/>
      <c r="M6"/>
      <c r="N6"/>
      <c r="O6"/>
      <c r="P6"/>
      <c r="Q6"/>
      <c r="R6"/>
      <c r="S6"/>
    </row>
    <row r="7" spans="2:19">
      <c r="B7"/>
      <c r="C7" t="s">
        <v>259</v>
      </c>
      <c r="D7" s="104">
        <v>176700</v>
      </c>
      <c r="E7" s="104">
        <v>327</v>
      </c>
      <c r="F7" s="105">
        <v>0.65473543797243217</v>
      </c>
      <c r="G7"/>
      <c r="H7"/>
      <c r="I7"/>
      <c r="J7"/>
      <c r="K7"/>
      <c r="L7"/>
      <c r="M7"/>
      <c r="N7"/>
      <c r="O7"/>
      <c r="P7"/>
      <c r="Q7"/>
      <c r="R7"/>
      <c r="S7"/>
    </row>
    <row r="8" spans="2:19">
      <c r="B8" t="s">
        <v>266</v>
      </c>
      <c r="C8"/>
      <c r="D8" s="104">
        <v>259880</v>
      </c>
      <c r="E8" s="104">
        <v>536</v>
      </c>
      <c r="F8" s="105">
        <v>0.96294649473840221</v>
      </c>
      <c r="G8"/>
      <c r="H8"/>
      <c r="I8"/>
      <c r="J8"/>
      <c r="K8"/>
      <c r="L8"/>
      <c r="M8"/>
      <c r="N8"/>
      <c r="O8"/>
      <c r="P8"/>
      <c r="Q8"/>
      <c r="R8"/>
      <c r="S8"/>
    </row>
    <row r="9" spans="2:19">
      <c r="B9" t="s">
        <v>265</v>
      </c>
      <c r="C9"/>
      <c r="D9" s="104"/>
      <c r="E9" s="104"/>
      <c r="F9" s="105"/>
      <c r="G9"/>
      <c r="H9"/>
      <c r="I9"/>
      <c r="J9"/>
      <c r="K9"/>
      <c r="L9"/>
      <c r="M9"/>
      <c r="N9"/>
      <c r="O9"/>
      <c r="P9"/>
      <c r="Q9"/>
      <c r="R9"/>
      <c r="S9"/>
    </row>
    <row r="10" spans="2:19">
      <c r="B10"/>
      <c r="C10" t="s">
        <v>257</v>
      </c>
      <c r="D10" s="104">
        <v>10000</v>
      </c>
      <c r="E10" s="104">
        <v>0</v>
      </c>
      <c r="F10" s="105">
        <v>3.7053505261597744E-2</v>
      </c>
    </row>
    <row r="11" spans="2:19">
      <c r="B11"/>
      <c r="C11" t="s">
        <v>258</v>
      </c>
      <c r="D11" s="104">
        <v>0</v>
      </c>
      <c r="E11" s="104">
        <v>-200</v>
      </c>
      <c r="F11" s="105">
        <v>0</v>
      </c>
    </row>
    <row r="12" spans="2:19">
      <c r="B12" t="s">
        <v>267</v>
      </c>
      <c r="C12"/>
      <c r="D12" s="104">
        <v>10000</v>
      </c>
      <c r="E12" s="104">
        <v>-200</v>
      </c>
      <c r="F12" s="105">
        <v>3.7053505261597744E-2</v>
      </c>
    </row>
    <row r="13" spans="2:19">
      <c r="B13" t="s">
        <v>260</v>
      </c>
      <c r="C13"/>
      <c r="D13" s="104">
        <v>269880</v>
      </c>
      <c r="E13" s="104">
        <v>336</v>
      </c>
      <c r="F13" s="105">
        <v>1</v>
      </c>
    </row>
    <row r="14" spans="2:19">
      <c r="B14"/>
      <c r="C14"/>
      <c r="D14"/>
      <c r="E14"/>
    </row>
    <row r="15" spans="2:19">
      <c r="B15"/>
      <c r="C15"/>
      <c r="D15"/>
      <c r="E15"/>
    </row>
    <row r="16" spans="2:19">
      <c r="B16"/>
      <c r="C16"/>
      <c r="D16"/>
      <c r="E16"/>
    </row>
    <row r="17" spans="2:5">
      <c r="B17"/>
      <c r="C17"/>
      <c r="D17"/>
      <c r="E17"/>
    </row>
    <row r="18" spans="2:5">
      <c r="B18"/>
      <c r="C18"/>
      <c r="D18"/>
      <c r="E18"/>
    </row>
    <row r="19" spans="2:5">
      <c r="B19"/>
      <c r="C19"/>
      <c r="D19"/>
      <c r="E19"/>
    </row>
    <row r="20" spans="2:5">
      <c r="B20"/>
      <c r="C20"/>
      <c r="D20"/>
      <c r="E20"/>
    </row>
    <row r="21" spans="2:5">
      <c r="B21"/>
      <c r="C21"/>
      <c r="D21"/>
      <c r="E21"/>
    </row>
    <row r="22" spans="2:5">
      <c r="B22"/>
      <c r="C22"/>
      <c r="D22"/>
      <c r="E22"/>
    </row>
    <row r="23" spans="2:5">
      <c r="B23"/>
      <c r="C23"/>
      <c r="D23"/>
      <c r="E23"/>
    </row>
    <row r="24" spans="2:5">
      <c r="B24"/>
      <c r="C24"/>
      <c r="D24"/>
      <c r="E24"/>
    </row>
    <row r="25" spans="2:5">
      <c r="B25"/>
      <c r="C25"/>
      <c r="D25"/>
      <c r="E25"/>
    </row>
    <row r="26" spans="2:5">
      <c r="B26"/>
      <c r="C26"/>
      <c r="D26"/>
      <c r="E26"/>
    </row>
    <row r="27" spans="2:5">
      <c r="B27"/>
      <c r="C27"/>
      <c r="D27"/>
      <c r="E27"/>
    </row>
    <row r="28" spans="2:5">
      <c r="B28"/>
      <c r="C28"/>
      <c r="D28"/>
      <c r="E28"/>
    </row>
    <row r="29" spans="2:5">
      <c r="B29"/>
      <c r="C29"/>
      <c r="D29"/>
      <c r="E29"/>
    </row>
    <row r="30" spans="2:5">
      <c r="B30"/>
      <c r="C30"/>
      <c r="D30"/>
      <c r="E30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384B-2A31-4D5E-B1EA-94F89ED28265}">
  <sheetPr codeName="Sheet9"/>
  <dimension ref="A1:J17"/>
  <sheetViews>
    <sheetView workbookViewId="0">
      <selection activeCell="D6" sqref="D6"/>
    </sheetView>
  </sheetViews>
  <sheetFormatPr defaultRowHeight="17.399999999999999"/>
  <cols>
    <col min="1" max="4" width="9.796875" customWidth="1"/>
    <col min="6" max="7" width="9.796875" customWidth="1"/>
  </cols>
  <sheetData>
    <row r="1" spans="1:10">
      <c r="A1" t="s">
        <v>270</v>
      </c>
      <c r="B1" t="s">
        <v>271</v>
      </c>
      <c r="C1" t="s">
        <v>272</v>
      </c>
      <c r="D1" t="s">
        <v>195</v>
      </c>
      <c r="E1" t="s">
        <v>212</v>
      </c>
      <c r="F1" t="s">
        <v>273</v>
      </c>
      <c r="G1" t="s">
        <v>274</v>
      </c>
      <c r="H1" t="s">
        <v>275</v>
      </c>
      <c r="I1" t="s">
        <v>258</v>
      </c>
      <c r="J1" t="s">
        <v>276</v>
      </c>
    </row>
    <row r="2" spans="1:10">
      <c r="A2">
        <v>1</v>
      </c>
      <c r="B2" s="106">
        <v>39448</v>
      </c>
      <c r="C2">
        <v>27904896</v>
      </c>
      <c r="D2" t="s">
        <v>256</v>
      </c>
      <c r="E2" t="s">
        <v>277</v>
      </c>
      <c r="F2">
        <v>1</v>
      </c>
      <c r="G2">
        <v>1</v>
      </c>
      <c r="H2">
        <v>500</v>
      </c>
      <c r="I2">
        <v>5</v>
      </c>
    </row>
    <row r="3" spans="1:10">
      <c r="A3">
        <v>2</v>
      </c>
      <c r="B3" s="106">
        <v>39448</v>
      </c>
      <c r="C3">
        <v>27904896</v>
      </c>
      <c r="D3" t="s">
        <v>256</v>
      </c>
      <c r="E3" t="s">
        <v>278</v>
      </c>
      <c r="F3">
        <v>1</v>
      </c>
      <c r="G3">
        <v>1</v>
      </c>
      <c r="H3">
        <v>200</v>
      </c>
      <c r="I3">
        <v>2</v>
      </c>
    </row>
    <row r="4" spans="1:10">
      <c r="A4">
        <v>3</v>
      </c>
      <c r="B4" s="106">
        <v>39448</v>
      </c>
      <c r="C4">
        <v>27904896</v>
      </c>
      <c r="D4" t="s">
        <v>256</v>
      </c>
      <c r="E4" t="s">
        <v>279</v>
      </c>
      <c r="F4">
        <v>1</v>
      </c>
      <c r="G4">
        <v>1</v>
      </c>
      <c r="H4">
        <v>100</v>
      </c>
      <c r="I4">
        <v>1</v>
      </c>
    </row>
    <row r="5" spans="1:10">
      <c r="A5">
        <v>30</v>
      </c>
      <c r="B5" s="106">
        <v>39472</v>
      </c>
      <c r="C5">
        <v>39978390</v>
      </c>
      <c r="D5" t="s">
        <v>256</v>
      </c>
      <c r="E5" t="s">
        <v>280</v>
      </c>
      <c r="F5">
        <v>5</v>
      </c>
      <c r="G5">
        <v>5</v>
      </c>
      <c r="H5">
        <v>2000</v>
      </c>
      <c r="I5">
        <v>20</v>
      </c>
    </row>
    <row r="6" spans="1:10">
      <c r="A6">
        <v>29</v>
      </c>
      <c r="B6" s="106">
        <v>39472</v>
      </c>
      <c r="C6">
        <v>39978390</v>
      </c>
      <c r="D6" t="s">
        <v>256</v>
      </c>
      <c r="E6" t="s">
        <v>281</v>
      </c>
      <c r="F6">
        <v>40</v>
      </c>
      <c r="G6">
        <v>40</v>
      </c>
      <c r="H6">
        <v>8000</v>
      </c>
      <c r="I6">
        <v>80</v>
      </c>
    </row>
    <row r="7" spans="1:10">
      <c r="A7">
        <v>28</v>
      </c>
      <c r="B7" s="106">
        <v>39472</v>
      </c>
      <c r="C7">
        <v>39978390</v>
      </c>
      <c r="D7" t="s">
        <v>256</v>
      </c>
      <c r="E7" t="s">
        <v>282</v>
      </c>
      <c r="F7">
        <v>1</v>
      </c>
      <c r="G7">
        <v>1</v>
      </c>
      <c r="H7">
        <v>600</v>
      </c>
      <c r="I7">
        <v>6</v>
      </c>
    </row>
    <row r="8" spans="1:10">
      <c r="A8">
        <v>27</v>
      </c>
      <c r="B8" s="106">
        <v>39472</v>
      </c>
      <c r="C8">
        <v>39978390</v>
      </c>
      <c r="D8" t="s">
        <v>256</v>
      </c>
      <c r="E8" t="s">
        <v>279</v>
      </c>
      <c r="F8">
        <v>1</v>
      </c>
      <c r="G8">
        <v>1</v>
      </c>
      <c r="H8">
        <v>100</v>
      </c>
      <c r="I8">
        <v>1</v>
      </c>
    </row>
    <row r="9" spans="1:10">
      <c r="A9">
        <v>26</v>
      </c>
      <c r="B9" s="106">
        <v>39472</v>
      </c>
      <c r="C9">
        <v>39978390</v>
      </c>
      <c r="D9" t="s">
        <v>256</v>
      </c>
      <c r="E9" t="s">
        <v>283</v>
      </c>
      <c r="F9">
        <v>10</v>
      </c>
      <c r="G9">
        <v>10</v>
      </c>
      <c r="H9">
        <v>10000</v>
      </c>
      <c r="I9">
        <v>10</v>
      </c>
    </row>
    <row r="10" spans="1:10">
      <c r="A10">
        <v>9</v>
      </c>
      <c r="B10" s="106">
        <v>39451</v>
      </c>
      <c r="C10">
        <v>33900000</v>
      </c>
      <c r="D10" t="s">
        <v>256</v>
      </c>
      <c r="E10" t="s">
        <v>282</v>
      </c>
      <c r="F10">
        <v>1</v>
      </c>
      <c r="G10">
        <v>1</v>
      </c>
      <c r="H10">
        <v>600</v>
      </c>
      <c r="I10">
        <v>6</v>
      </c>
    </row>
    <row r="11" spans="1:10">
      <c r="A11">
        <v>10</v>
      </c>
      <c r="B11" s="106">
        <v>39451</v>
      </c>
      <c r="C11">
        <v>33900000</v>
      </c>
      <c r="D11" t="s">
        <v>256</v>
      </c>
      <c r="E11" t="s">
        <v>284</v>
      </c>
      <c r="F11">
        <v>1</v>
      </c>
      <c r="G11">
        <v>1</v>
      </c>
      <c r="H11">
        <v>50</v>
      </c>
      <c r="I11">
        <v>5</v>
      </c>
    </row>
    <row r="12" spans="1:10">
      <c r="A12">
        <v>11</v>
      </c>
      <c r="B12" s="106">
        <v>39457</v>
      </c>
      <c r="C12">
        <v>35009820</v>
      </c>
      <c r="D12" t="s">
        <v>256</v>
      </c>
      <c r="E12" t="s">
        <v>285</v>
      </c>
      <c r="F12">
        <v>1</v>
      </c>
      <c r="G12">
        <v>0</v>
      </c>
      <c r="H12">
        <v>0</v>
      </c>
      <c r="I12">
        <v>0</v>
      </c>
    </row>
    <row r="13" spans="1:10">
      <c r="A13">
        <v>12</v>
      </c>
      <c r="B13" s="106">
        <v>39457</v>
      </c>
      <c r="C13">
        <v>35009820</v>
      </c>
      <c r="D13" t="s">
        <v>256</v>
      </c>
      <c r="E13" t="s">
        <v>286</v>
      </c>
      <c r="F13">
        <v>2</v>
      </c>
      <c r="G13">
        <v>2</v>
      </c>
      <c r="H13">
        <v>30</v>
      </c>
      <c r="I13">
        <v>3</v>
      </c>
    </row>
    <row r="14" spans="1:10">
      <c r="A14">
        <v>13</v>
      </c>
      <c r="B14" s="106">
        <v>39457</v>
      </c>
      <c r="C14">
        <v>35009820</v>
      </c>
      <c r="D14" t="s">
        <v>256</v>
      </c>
      <c r="E14" t="s">
        <v>287</v>
      </c>
      <c r="F14">
        <v>5</v>
      </c>
      <c r="G14">
        <v>5</v>
      </c>
      <c r="H14">
        <v>1000</v>
      </c>
      <c r="I14">
        <v>10</v>
      </c>
    </row>
    <row r="15" spans="1:10">
      <c r="A15">
        <v>22</v>
      </c>
      <c r="B15" s="106">
        <v>39465</v>
      </c>
      <c r="C15">
        <v>38983780</v>
      </c>
      <c r="D15" t="s">
        <v>256</v>
      </c>
      <c r="E15" t="s">
        <v>288</v>
      </c>
      <c r="F15">
        <v>20</v>
      </c>
      <c r="G15">
        <v>20</v>
      </c>
      <c r="H15">
        <v>40000</v>
      </c>
      <c r="I15">
        <v>40</v>
      </c>
    </row>
    <row r="16" spans="1:10">
      <c r="A16">
        <v>20</v>
      </c>
      <c r="B16" s="106">
        <v>39465</v>
      </c>
      <c r="C16">
        <v>38983780</v>
      </c>
      <c r="D16" t="s">
        <v>256</v>
      </c>
      <c r="E16" t="s">
        <v>283</v>
      </c>
      <c r="F16">
        <v>10</v>
      </c>
      <c r="G16">
        <v>10</v>
      </c>
      <c r="H16">
        <v>10000</v>
      </c>
      <c r="I16">
        <v>10</v>
      </c>
    </row>
    <row r="17" spans="1:9">
      <c r="A17">
        <v>19</v>
      </c>
      <c r="B17" s="106">
        <v>39465</v>
      </c>
      <c r="C17">
        <v>38983780</v>
      </c>
      <c r="D17" t="s">
        <v>256</v>
      </c>
      <c r="E17" t="s">
        <v>289</v>
      </c>
      <c r="F17">
        <v>5</v>
      </c>
      <c r="G17">
        <v>5</v>
      </c>
      <c r="H17">
        <v>10000</v>
      </c>
      <c r="I17">
        <v>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19"/>
  <sheetViews>
    <sheetView workbookViewId="0">
      <selection activeCell="F17" sqref="F17"/>
    </sheetView>
  </sheetViews>
  <sheetFormatPr defaultColWidth="8.8984375" defaultRowHeight="17.399999999999999"/>
  <cols>
    <col min="1" max="1" width="10.3984375" style="70" bestFit="1" customWidth="1"/>
    <col min="2" max="2" width="8.59765625" style="70" bestFit="1" customWidth="1"/>
    <col min="3" max="3" width="8.59765625" style="70" customWidth="1"/>
    <col min="4" max="4" width="11.09765625" style="70" bestFit="1" customWidth="1"/>
    <col min="5" max="5" width="2.8984375" style="70" customWidth="1"/>
    <col min="6" max="6" width="9" style="70" customWidth="1"/>
    <col min="7" max="8" width="8.8984375" style="70"/>
    <col min="9" max="9" width="11.09765625" style="70" bestFit="1" customWidth="1"/>
    <col min="10" max="16384" width="8.8984375" style="70"/>
  </cols>
  <sheetData>
    <row r="1" spans="1:9">
      <c r="A1" s="69" t="s">
        <v>232</v>
      </c>
      <c r="B1" s="69"/>
      <c r="C1" s="69"/>
      <c r="D1" s="69"/>
      <c r="E1" s="69"/>
      <c r="F1" s="69" t="s">
        <v>233</v>
      </c>
      <c r="G1" s="69"/>
      <c r="H1" s="69"/>
      <c r="I1" s="69"/>
    </row>
    <row r="2" spans="1:9">
      <c r="A2" s="71" t="s">
        <v>234</v>
      </c>
      <c r="B2" s="72" t="s">
        <v>235</v>
      </c>
      <c r="C2" s="71" t="s">
        <v>237</v>
      </c>
      <c r="D2" s="71" t="s">
        <v>238</v>
      </c>
      <c r="E2" s="69"/>
      <c r="F2" s="71" t="s">
        <v>234</v>
      </c>
      <c r="G2" s="72" t="s">
        <v>239</v>
      </c>
      <c r="H2" s="71" t="s">
        <v>236</v>
      </c>
      <c r="I2" s="71" t="s">
        <v>240</v>
      </c>
    </row>
    <row r="3" spans="1:9">
      <c r="A3" s="71" t="s">
        <v>241</v>
      </c>
      <c r="B3" s="73">
        <v>120</v>
      </c>
      <c r="C3" s="73">
        <v>111</v>
      </c>
      <c r="D3" s="73">
        <f t="shared" ref="D3:D8" si="0">C3*6789</f>
        <v>753579</v>
      </c>
      <c r="E3" s="69"/>
      <c r="F3" s="71" t="s">
        <v>242</v>
      </c>
      <c r="G3" s="73">
        <v>50</v>
      </c>
      <c r="H3" s="73">
        <v>54</v>
      </c>
      <c r="I3" s="73">
        <f t="shared" ref="I3:I8" si="1">H3*6789</f>
        <v>366606</v>
      </c>
    </row>
    <row r="4" spans="1:9">
      <c r="A4" s="71" t="s">
        <v>243</v>
      </c>
      <c r="B4" s="73">
        <v>250</v>
      </c>
      <c r="C4" s="73">
        <v>150</v>
      </c>
      <c r="D4" s="73">
        <f t="shared" si="0"/>
        <v>1018350</v>
      </c>
      <c r="E4" s="69"/>
      <c r="F4" s="71" t="s">
        <v>244</v>
      </c>
      <c r="G4" s="73">
        <v>87</v>
      </c>
      <c r="H4" s="73">
        <v>78</v>
      </c>
      <c r="I4" s="73">
        <f t="shared" si="1"/>
        <v>529542</v>
      </c>
    </row>
    <row r="5" spans="1:9">
      <c r="A5" s="71" t="s">
        <v>245</v>
      </c>
      <c r="B5" s="73">
        <v>120</v>
      </c>
      <c r="C5" s="73">
        <v>45</v>
      </c>
      <c r="D5" s="73">
        <f t="shared" si="0"/>
        <v>305505</v>
      </c>
      <c r="E5" s="69"/>
      <c r="F5" s="71" t="s">
        <v>245</v>
      </c>
      <c r="G5" s="73">
        <v>98</v>
      </c>
      <c r="H5" s="73">
        <v>89</v>
      </c>
      <c r="I5" s="73">
        <f t="shared" si="1"/>
        <v>604221</v>
      </c>
    </row>
    <row r="6" spans="1:9">
      <c r="A6" s="71" t="s">
        <v>246</v>
      </c>
      <c r="B6" s="73">
        <v>150</v>
      </c>
      <c r="C6" s="73">
        <v>78</v>
      </c>
      <c r="D6" s="73">
        <f t="shared" si="0"/>
        <v>529542</v>
      </c>
      <c r="E6" s="69"/>
      <c r="F6" s="71" t="s">
        <v>241</v>
      </c>
      <c r="G6" s="73">
        <v>100</v>
      </c>
      <c r="H6" s="73">
        <v>78</v>
      </c>
      <c r="I6" s="73">
        <f t="shared" si="1"/>
        <v>529542</v>
      </c>
    </row>
    <row r="7" spans="1:9">
      <c r="A7" s="71" t="s">
        <v>244</v>
      </c>
      <c r="B7" s="73">
        <v>100</v>
      </c>
      <c r="C7" s="73">
        <v>90</v>
      </c>
      <c r="D7" s="73">
        <f t="shared" si="0"/>
        <v>611010</v>
      </c>
      <c r="E7" s="69"/>
      <c r="F7" s="71" t="s">
        <v>247</v>
      </c>
      <c r="G7" s="73">
        <v>132</v>
      </c>
      <c r="H7" s="73">
        <v>120</v>
      </c>
      <c r="I7" s="73">
        <f t="shared" si="1"/>
        <v>814680</v>
      </c>
    </row>
    <row r="8" spans="1:9">
      <c r="A8" s="71" t="s">
        <v>242</v>
      </c>
      <c r="B8" s="73">
        <v>57</v>
      </c>
      <c r="C8" s="73">
        <v>54</v>
      </c>
      <c r="D8" s="73">
        <f t="shared" si="0"/>
        <v>366606</v>
      </c>
      <c r="E8" s="69"/>
      <c r="F8" s="71" t="s">
        <v>248</v>
      </c>
      <c r="G8" s="73">
        <v>158</v>
      </c>
      <c r="H8" s="73">
        <v>134</v>
      </c>
      <c r="I8" s="73">
        <f t="shared" si="1"/>
        <v>909726</v>
      </c>
    </row>
    <row r="10" spans="1:9" ht="18" thickBot="1">
      <c r="A10" s="69" t="s">
        <v>249</v>
      </c>
      <c r="B10" s="69"/>
      <c r="C10" s="69"/>
      <c r="D10" s="69"/>
      <c r="F10" s="69" t="s">
        <v>250</v>
      </c>
      <c r="G10" s="69"/>
      <c r="H10" s="69"/>
      <c r="I10" s="69"/>
    </row>
    <row r="11" spans="1:9">
      <c r="A11" s="71" t="s">
        <v>234</v>
      </c>
      <c r="B11" s="72" t="s">
        <v>239</v>
      </c>
      <c r="C11" s="71" t="s">
        <v>237</v>
      </c>
      <c r="D11" s="71" t="s">
        <v>238</v>
      </c>
      <c r="F11" s="74" t="s">
        <v>251</v>
      </c>
      <c r="G11" s="75" t="s">
        <v>235</v>
      </c>
      <c r="H11" s="76" t="s">
        <v>237</v>
      </c>
      <c r="I11" s="77" t="s">
        <v>238</v>
      </c>
    </row>
    <row r="12" spans="1:9">
      <c r="A12" s="71" t="s">
        <v>241</v>
      </c>
      <c r="B12" s="73">
        <v>200</v>
      </c>
      <c r="C12" s="73">
        <v>187</v>
      </c>
      <c r="D12" s="73">
        <f t="shared" ref="D12:D17" si="2">C12*6789</f>
        <v>1269543</v>
      </c>
      <c r="F12" s="78" t="s">
        <v>290</v>
      </c>
      <c r="G12" s="79">
        <v>420</v>
      </c>
      <c r="H12" s="79">
        <v>376</v>
      </c>
      <c r="I12" s="80">
        <v>2552664</v>
      </c>
    </row>
    <row r="13" spans="1:9">
      <c r="A13" s="71" t="s">
        <v>243</v>
      </c>
      <c r="B13" s="73">
        <v>180</v>
      </c>
      <c r="C13" s="73">
        <v>100</v>
      </c>
      <c r="D13" s="73">
        <f t="shared" si="2"/>
        <v>678900</v>
      </c>
      <c r="F13" s="78" t="s">
        <v>291</v>
      </c>
      <c r="G13" s="79">
        <v>449</v>
      </c>
      <c r="H13" s="79">
        <v>348</v>
      </c>
      <c r="I13" s="80">
        <v>2362572</v>
      </c>
    </row>
    <row r="14" spans="1:9" ht="18" thickBot="1">
      <c r="A14" s="71" t="s">
        <v>247</v>
      </c>
      <c r="B14" s="73">
        <v>167</v>
      </c>
      <c r="C14" s="73">
        <v>150</v>
      </c>
      <c r="D14" s="73">
        <f t="shared" si="2"/>
        <v>1018350</v>
      </c>
      <c r="F14" s="81" t="s">
        <v>292</v>
      </c>
      <c r="G14" s="82">
        <v>588</v>
      </c>
      <c r="H14" s="82">
        <v>384</v>
      </c>
      <c r="I14" s="83">
        <v>2606976</v>
      </c>
    </row>
    <row r="15" spans="1:9">
      <c r="A15" s="71" t="s">
        <v>244</v>
      </c>
      <c r="B15" s="73">
        <v>135</v>
      </c>
      <c r="C15" s="73">
        <v>123</v>
      </c>
      <c r="D15" s="73">
        <f t="shared" si="2"/>
        <v>835047</v>
      </c>
    </row>
    <row r="16" spans="1:9">
      <c r="A16" s="71" t="s">
        <v>245</v>
      </c>
      <c r="B16" s="73">
        <v>132</v>
      </c>
      <c r="C16" s="73">
        <v>120</v>
      </c>
      <c r="D16" s="73">
        <f t="shared" si="2"/>
        <v>814680</v>
      </c>
    </row>
    <row r="17" spans="1:4">
      <c r="A17" s="71" t="s">
        <v>242</v>
      </c>
      <c r="B17" s="73">
        <v>77</v>
      </c>
      <c r="C17" s="73">
        <v>69</v>
      </c>
      <c r="D17" s="73">
        <f t="shared" si="2"/>
        <v>468441</v>
      </c>
    </row>
    <row r="19" spans="1:4">
      <c r="D19" s="84"/>
    </row>
  </sheetData>
  <dataConsolidate leftLabels="1" topLabels="1">
    <dataRefs count="3">
      <dataRef ref="A2:D8" sheet="분석작업-2"/>
      <dataRef ref="F2:I8" sheet="분석작업-2"/>
      <dataRef ref="A11:D17" sheet="분석작업-2"/>
    </dataRefs>
  </dataConsolidate>
  <phoneticPr fontId="1" type="noConversion"/>
  <conditionalFormatting sqref="D12:D17">
    <cfRule type="aboveAverage" dxfId="2" priority="1" equalAverage="1"/>
  </conditionalFormatting>
  <printOptions headings="1" gridLines="1"/>
  <pageMargins left="0.35433070866141736" right="0.35433070866141736" top="0.59055118110236227" bottom="0.59055118110236227" header="0.31496062992125984" footer="0.31496062992125984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M8"/>
  <sheetViews>
    <sheetView workbookViewId="0">
      <selection activeCell="C31" sqref="C31"/>
    </sheetView>
  </sheetViews>
  <sheetFormatPr defaultColWidth="9" defaultRowHeight="17.399999999999999"/>
  <cols>
    <col min="1" max="1" width="9" style="10"/>
    <col min="2" max="2" width="12.5" style="10" customWidth="1"/>
    <col min="3" max="16384" width="9" style="10"/>
  </cols>
  <sheetData>
    <row r="2" spans="2:13" ht="18" thickBot="1"/>
    <row r="3" spans="2:13">
      <c r="B3" s="46" t="s">
        <v>130</v>
      </c>
      <c r="C3" s="47"/>
      <c r="D3" s="46" t="s">
        <v>131</v>
      </c>
      <c r="E3" s="48" t="s">
        <v>132</v>
      </c>
      <c r="F3" s="48" t="s">
        <v>133</v>
      </c>
      <c r="G3" s="48" t="s">
        <v>134</v>
      </c>
      <c r="H3" s="48" t="s">
        <v>135</v>
      </c>
      <c r="I3" s="48" t="s">
        <v>136</v>
      </c>
      <c r="J3" s="48" t="s">
        <v>137</v>
      </c>
      <c r="K3" s="48" t="s">
        <v>138</v>
      </c>
      <c r="L3" s="48" t="s">
        <v>139</v>
      </c>
      <c r="M3" s="47" t="s">
        <v>140</v>
      </c>
    </row>
    <row r="4" spans="2:13">
      <c r="B4" s="49" t="s">
        <v>141</v>
      </c>
      <c r="C4" s="50" t="s">
        <v>142</v>
      </c>
      <c r="D4" s="51">
        <v>-5.9</v>
      </c>
      <c r="E4" s="52">
        <v>-3.4</v>
      </c>
      <c r="F4" s="52">
        <v>0.9</v>
      </c>
      <c r="G4" s="52">
        <v>-0.3</v>
      </c>
      <c r="H4" s="52">
        <v>1.6</v>
      </c>
      <c r="I4" s="52">
        <v>4.0999999999999996</v>
      </c>
      <c r="J4" s="52">
        <v>2.8</v>
      </c>
      <c r="K4" s="52">
        <v>1.8</v>
      </c>
      <c r="L4" s="52">
        <v>0.9</v>
      </c>
      <c r="M4" s="53">
        <v>0.1</v>
      </c>
    </row>
    <row r="5" spans="2:13">
      <c r="B5" s="54" t="s">
        <v>143</v>
      </c>
      <c r="C5" s="55" t="s">
        <v>144</v>
      </c>
      <c r="D5" s="51">
        <v>-4.7</v>
      </c>
      <c r="E5" s="52">
        <v>-3.9</v>
      </c>
      <c r="F5" s="52">
        <v>-0.9</v>
      </c>
      <c r="G5" s="52">
        <v>-1.9</v>
      </c>
      <c r="H5" s="52">
        <v>-1</v>
      </c>
      <c r="I5" s="52">
        <v>0.7</v>
      </c>
      <c r="J5" s="52">
        <v>0.9</v>
      </c>
      <c r="K5" s="52">
        <v>0</v>
      </c>
      <c r="L5" s="52">
        <v>-0.2</v>
      </c>
      <c r="M5" s="53">
        <v>-0.8</v>
      </c>
    </row>
    <row r="6" spans="2:13">
      <c r="B6" s="54" t="s">
        <v>145</v>
      </c>
      <c r="C6" s="55" t="s">
        <v>146</v>
      </c>
      <c r="D6" s="51">
        <v>-2.4</v>
      </c>
      <c r="E6" s="52">
        <v>-1.9</v>
      </c>
      <c r="F6" s="52">
        <v>-0.7</v>
      </c>
      <c r="G6" s="52">
        <v>-1.1000000000000001</v>
      </c>
      <c r="H6" s="52">
        <v>-0.9</v>
      </c>
      <c r="I6" s="52">
        <v>-0.2</v>
      </c>
      <c r="J6" s="52">
        <v>0</v>
      </c>
      <c r="K6" s="52">
        <v>-0.1</v>
      </c>
      <c r="L6" s="52">
        <v>-0.1</v>
      </c>
      <c r="M6" s="53">
        <v>-0.2</v>
      </c>
    </row>
    <row r="7" spans="2:13">
      <c r="B7" s="54" t="s">
        <v>147</v>
      </c>
      <c r="C7" s="55" t="s">
        <v>148</v>
      </c>
      <c r="D7" s="51">
        <v>-0.9</v>
      </c>
      <c r="E7" s="52">
        <v>-1.2</v>
      </c>
      <c r="F7" s="52">
        <v>-0.6</v>
      </c>
      <c r="G7" s="52">
        <v>-0.8</v>
      </c>
      <c r="H7" s="52">
        <v>-0.6</v>
      </c>
      <c r="I7" s="52">
        <v>-0.5</v>
      </c>
      <c r="J7" s="52">
        <v>-0.5</v>
      </c>
      <c r="K7" s="52">
        <v>-0.3</v>
      </c>
      <c r="L7" s="52">
        <v>-0.4</v>
      </c>
      <c r="M7" s="53">
        <v>-0.3</v>
      </c>
    </row>
    <row r="8" spans="2:13" ht="18" thickBot="1">
      <c r="B8" s="56"/>
      <c r="C8" s="57" t="s">
        <v>149</v>
      </c>
      <c r="D8" s="58">
        <v>1.6</v>
      </c>
      <c r="E8" s="59">
        <v>1.1000000000000001</v>
      </c>
      <c r="F8" s="59">
        <v>1.1000000000000001</v>
      </c>
      <c r="G8" s="59">
        <v>0.9</v>
      </c>
      <c r="H8" s="59">
        <v>0.9</v>
      </c>
      <c r="I8" s="59">
        <v>0.9</v>
      </c>
      <c r="J8" s="59">
        <v>0.9</v>
      </c>
      <c r="K8" s="59">
        <v>0.9</v>
      </c>
      <c r="L8" s="59">
        <v>1</v>
      </c>
      <c r="M8" s="60">
        <v>1.1000000000000001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51"/>
  <sheetViews>
    <sheetView topLeftCell="A10" workbookViewId="0">
      <selection activeCell="E27" sqref="E27"/>
    </sheetView>
  </sheetViews>
  <sheetFormatPr defaultColWidth="9" defaultRowHeight="17.399999999999999"/>
  <cols>
    <col min="1" max="1" width="5.796875" style="6" customWidth="1"/>
    <col min="2" max="2" width="9" style="2"/>
    <col min="3" max="3" width="11.69921875" style="2" customWidth="1"/>
    <col min="4" max="4" width="10.19921875" style="2" bestFit="1" customWidth="1"/>
    <col min="5" max="7" width="9" style="2"/>
    <col min="8" max="8" width="14.796875" style="2" customWidth="1"/>
    <col min="9" max="16384" width="9" style="2"/>
  </cols>
  <sheetData>
    <row r="1" spans="1:8" ht="21">
      <c r="A1" s="1"/>
      <c r="B1" s="94" t="s">
        <v>210</v>
      </c>
      <c r="C1" s="94"/>
      <c r="D1" s="94"/>
      <c r="E1" s="94"/>
      <c r="F1" s="94"/>
      <c r="G1" s="94"/>
      <c r="H1" s="94"/>
    </row>
    <row r="2" spans="1:8">
      <c r="A2" s="1"/>
      <c r="B2" s="1"/>
      <c r="C2" s="1"/>
      <c r="D2" s="1"/>
      <c r="E2" s="1"/>
      <c r="F2" s="1"/>
      <c r="G2" s="1"/>
      <c r="H2" s="1" t="s">
        <v>211</v>
      </c>
    </row>
    <row r="3" spans="1:8">
      <c r="A3" s="1"/>
      <c r="B3" s="95" t="s">
        <v>212</v>
      </c>
      <c r="C3" s="95"/>
      <c r="D3" s="91" t="s">
        <v>213</v>
      </c>
      <c r="E3" s="91"/>
      <c r="F3" s="91"/>
      <c r="G3" s="95" t="s">
        <v>214</v>
      </c>
      <c r="H3" s="95" t="s">
        <v>215</v>
      </c>
    </row>
    <row r="4" spans="1:8">
      <c r="A4" s="1"/>
      <c r="B4" s="95"/>
      <c r="C4" s="95"/>
      <c r="D4" s="65" t="s">
        <v>216</v>
      </c>
      <c r="E4" s="65" t="s">
        <v>217</v>
      </c>
      <c r="F4" s="65" t="s">
        <v>218</v>
      </c>
      <c r="G4" s="95"/>
      <c r="H4" s="95"/>
    </row>
    <row r="5" spans="1:8">
      <c r="A5" s="1"/>
      <c r="B5" s="90" t="s">
        <v>219</v>
      </c>
      <c r="C5" s="66" t="s">
        <v>220</v>
      </c>
      <c r="D5" s="67">
        <v>3000</v>
      </c>
      <c r="E5" s="67">
        <v>3200</v>
      </c>
      <c r="F5" s="67">
        <f t="shared" ref="F5:F15" si="0">SUM(D5:E5)</f>
        <v>6200</v>
      </c>
      <c r="G5" s="67">
        <v>6400</v>
      </c>
      <c r="H5" s="67">
        <f t="shared" ref="H5:H14" si="1">F5*$H$17</f>
        <v>1550</v>
      </c>
    </row>
    <row r="6" spans="1:8">
      <c r="A6" s="1"/>
      <c r="B6" s="90"/>
      <c r="C6" s="66" t="s">
        <v>221</v>
      </c>
      <c r="D6" s="67">
        <v>2000</v>
      </c>
      <c r="E6" s="67">
        <v>3400</v>
      </c>
      <c r="F6" s="67">
        <f t="shared" si="0"/>
        <v>5400</v>
      </c>
      <c r="G6" s="67">
        <v>5500</v>
      </c>
      <c r="H6" s="67">
        <f t="shared" si="1"/>
        <v>1350</v>
      </c>
    </row>
    <row r="7" spans="1:8">
      <c r="A7" s="1"/>
      <c r="B7" s="90"/>
      <c r="C7" s="66" t="s">
        <v>222</v>
      </c>
      <c r="D7" s="67">
        <v>2000</v>
      </c>
      <c r="E7" s="67">
        <v>3400</v>
      </c>
      <c r="F7" s="67">
        <f t="shared" si="0"/>
        <v>5400</v>
      </c>
      <c r="G7" s="67">
        <v>3000</v>
      </c>
      <c r="H7" s="67">
        <f t="shared" si="1"/>
        <v>1350</v>
      </c>
    </row>
    <row r="8" spans="1:8">
      <c r="A8" s="1"/>
      <c r="B8" s="90"/>
      <c r="C8" s="66" t="s">
        <v>223</v>
      </c>
      <c r="D8" s="67">
        <v>3800</v>
      </c>
      <c r="E8" s="67">
        <v>2000</v>
      </c>
      <c r="F8" s="67">
        <f t="shared" si="0"/>
        <v>5800</v>
      </c>
      <c r="G8" s="67">
        <v>6500</v>
      </c>
      <c r="H8" s="67">
        <f t="shared" si="1"/>
        <v>1450</v>
      </c>
    </row>
    <row r="9" spans="1:8">
      <c r="A9" s="1"/>
      <c r="B9" s="90"/>
      <c r="C9" s="66" t="s">
        <v>224</v>
      </c>
      <c r="D9" s="67">
        <v>1200</v>
      </c>
      <c r="E9" s="67">
        <v>3800</v>
      </c>
      <c r="F9" s="67">
        <f t="shared" si="0"/>
        <v>5000</v>
      </c>
      <c r="G9" s="67">
        <v>4500</v>
      </c>
      <c r="H9" s="67">
        <f t="shared" si="1"/>
        <v>1250</v>
      </c>
    </row>
    <row r="10" spans="1:8">
      <c r="A10" s="1"/>
      <c r="B10" s="90"/>
      <c r="C10" s="66" t="s">
        <v>225</v>
      </c>
      <c r="D10" s="67">
        <v>900</v>
      </c>
      <c r="E10" s="67">
        <v>1500</v>
      </c>
      <c r="F10" s="67">
        <f t="shared" si="0"/>
        <v>2400</v>
      </c>
      <c r="G10" s="67">
        <v>3500</v>
      </c>
      <c r="H10" s="67">
        <f t="shared" si="1"/>
        <v>600</v>
      </c>
    </row>
    <row r="11" spans="1:8">
      <c r="A11" s="1"/>
      <c r="B11" s="90" t="s">
        <v>226</v>
      </c>
      <c r="C11" s="66" t="s">
        <v>227</v>
      </c>
      <c r="D11" s="67">
        <v>3200</v>
      </c>
      <c r="E11" s="67">
        <v>3000</v>
      </c>
      <c r="F11" s="67">
        <f t="shared" si="0"/>
        <v>6200</v>
      </c>
      <c r="G11" s="67">
        <v>5800</v>
      </c>
      <c r="H11" s="67">
        <f t="shared" si="1"/>
        <v>1550</v>
      </c>
    </row>
    <row r="12" spans="1:8">
      <c r="A12" s="1"/>
      <c r="B12" s="90"/>
      <c r="C12" s="66" t="s">
        <v>228</v>
      </c>
      <c r="D12" s="67">
        <v>1000</v>
      </c>
      <c r="E12" s="67">
        <v>1500</v>
      </c>
      <c r="F12" s="67">
        <f t="shared" si="0"/>
        <v>2500</v>
      </c>
      <c r="G12" s="67">
        <v>2200</v>
      </c>
      <c r="H12" s="67">
        <f t="shared" si="1"/>
        <v>625</v>
      </c>
    </row>
    <row r="13" spans="1:8">
      <c r="A13" s="1"/>
      <c r="B13" s="90"/>
      <c r="C13" s="66" t="s">
        <v>229</v>
      </c>
      <c r="D13" s="67">
        <v>560</v>
      </c>
      <c r="E13" s="67">
        <v>460</v>
      </c>
      <c r="F13" s="67">
        <f t="shared" si="0"/>
        <v>1020</v>
      </c>
      <c r="G13" s="67">
        <v>1200</v>
      </c>
      <c r="H13" s="67">
        <f t="shared" si="1"/>
        <v>255</v>
      </c>
    </row>
    <row r="14" spans="1:8">
      <c r="A14" s="1"/>
      <c r="B14" s="90"/>
      <c r="C14" s="66" t="s">
        <v>230</v>
      </c>
      <c r="D14" s="67">
        <v>1200</v>
      </c>
      <c r="E14" s="67">
        <v>2400</v>
      </c>
      <c r="F14" s="67">
        <f t="shared" si="0"/>
        <v>3600</v>
      </c>
      <c r="G14" s="67">
        <v>3500</v>
      </c>
      <c r="H14" s="67">
        <f t="shared" si="1"/>
        <v>900</v>
      </c>
    </row>
    <row r="15" spans="1:8">
      <c r="A15" s="1"/>
      <c r="B15" s="91" t="s">
        <v>218</v>
      </c>
      <c r="C15" s="91"/>
      <c r="D15" s="67">
        <f>SUM(D5:D14)</f>
        <v>18860</v>
      </c>
      <c r="E15" s="67">
        <f>SUM(E5:E14)</f>
        <v>24660</v>
      </c>
      <c r="F15" s="67">
        <f t="shared" si="0"/>
        <v>43520</v>
      </c>
      <c r="G15" s="67">
        <f>SUM(G5:G14)</f>
        <v>42100</v>
      </c>
      <c r="H15" s="67">
        <f>SUM(H5:H14)</f>
        <v>10880</v>
      </c>
    </row>
    <row r="16" spans="1:8">
      <c r="A16" s="1"/>
      <c r="B16" s="1"/>
      <c r="C16" s="1"/>
      <c r="D16" s="1"/>
      <c r="E16" s="1"/>
      <c r="F16" s="1"/>
      <c r="G16" s="1"/>
      <c r="H16" s="1"/>
    </row>
    <row r="17" spans="1:9">
      <c r="A17" s="1"/>
      <c r="B17" s="1"/>
      <c r="C17" s="1"/>
      <c r="D17" s="1"/>
      <c r="E17" s="1"/>
      <c r="F17" s="92" t="s">
        <v>231</v>
      </c>
      <c r="G17" s="93"/>
      <c r="H17" s="68">
        <v>0.25</v>
      </c>
    </row>
    <row r="30" spans="1:9">
      <c r="B30" s="2" t="s">
        <v>252</v>
      </c>
    </row>
    <row r="31" spans="1:9">
      <c r="B31" s="62" t="s">
        <v>189</v>
      </c>
      <c r="C31" s="62" t="s">
        <v>190</v>
      </c>
      <c r="D31" s="62" t="s">
        <v>191</v>
      </c>
      <c r="E31" s="62" t="s">
        <v>192</v>
      </c>
      <c r="F31" s="62" t="s">
        <v>193</v>
      </c>
      <c r="G31" s="62" t="s">
        <v>194</v>
      </c>
      <c r="H31" s="62" t="s">
        <v>195</v>
      </c>
      <c r="I31" s="62" t="s">
        <v>196</v>
      </c>
    </row>
    <row r="32" spans="1:9">
      <c r="B32" s="63">
        <v>1</v>
      </c>
      <c r="C32" s="63">
        <v>10630</v>
      </c>
      <c r="D32" s="64">
        <v>39207</v>
      </c>
      <c r="E32" s="63" t="s">
        <v>197</v>
      </c>
      <c r="F32" s="63">
        <v>10900</v>
      </c>
      <c r="G32" s="63">
        <v>8888</v>
      </c>
      <c r="H32" s="63" t="s">
        <v>198</v>
      </c>
      <c r="I32" s="63" t="s">
        <v>199</v>
      </c>
    </row>
    <row r="33" spans="2:9">
      <c r="B33" s="63">
        <v>2</v>
      </c>
      <c r="C33" s="63">
        <v>33520</v>
      </c>
      <c r="D33" s="64">
        <v>39207</v>
      </c>
      <c r="E33" s="63" t="s">
        <v>200</v>
      </c>
      <c r="F33" s="63">
        <v>180000</v>
      </c>
      <c r="G33" s="63">
        <v>8888</v>
      </c>
      <c r="H33" s="63" t="s">
        <v>198</v>
      </c>
      <c r="I33" s="63" t="s">
        <v>199</v>
      </c>
    </row>
    <row r="34" spans="2:9">
      <c r="B34" s="63">
        <v>3</v>
      </c>
      <c r="C34" s="63">
        <v>22170</v>
      </c>
      <c r="D34" s="64">
        <v>39209</v>
      </c>
      <c r="E34" s="63" t="s">
        <v>201</v>
      </c>
      <c r="F34" s="63">
        <v>15000</v>
      </c>
      <c r="G34" s="63">
        <v>9999</v>
      </c>
      <c r="H34" s="63" t="s">
        <v>198</v>
      </c>
      <c r="I34" s="63" t="s">
        <v>199</v>
      </c>
    </row>
    <row r="35" spans="2:9">
      <c r="B35" s="63">
        <v>4</v>
      </c>
      <c r="C35" s="63">
        <v>69610</v>
      </c>
      <c r="D35" s="64">
        <v>39214</v>
      </c>
      <c r="E35" s="63" t="s">
        <v>197</v>
      </c>
      <c r="F35" s="63">
        <v>9570</v>
      </c>
      <c r="G35" s="63">
        <v>8888</v>
      </c>
      <c r="H35" s="63" t="s">
        <v>198</v>
      </c>
      <c r="I35" s="63" t="s">
        <v>199</v>
      </c>
    </row>
    <row r="36" spans="2:9">
      <c r="B36" s="63">
        <v>5</v>
      </c>
      <c r="C36" s="63">
        <v>40500</v>
      </c>
      <c r="D36" s="64">
        <v>39217</v>
      </c>
      <c r="E36" s="63" t="s">
        <v>202</v>
      </c>
      <c r="F36" s="63">
        <v>6000</v>
      </c>
      <c r="G36" s="63">
        <v>8888</v>
      </c>
      <c r="H36" s="63" t="s">
        <v>198</v>
      </c>
      <c r="I36" s="63" t="s">
        <v>199</v>
      </c>
    </row>
    <row r="37" spans="2:9">
      <c r="B37" s="63">
        <v>6</v>
      </c>
      <c r="C37" s="63">
        <v>11510</v>
      </c>
      <c r="D37" s="64">
        <v>39224</v>
      </c>
      <c r="E37" s="63" t="s">
        <v>203</v>
      </c>
      <c r="F37" s="63">
        <v>101600</v>
      </c>
      <c r="G37" s="63">
        <v>7777</v>
      </c>
      <c r="H37" s="63" t="s">
        <v>198</v>
      </c>
      <c r="I37" s="63" t="s">
        <v>199</v>
      </c>
    </row>
    <row r="38" spans="2:9">
      <c r="B38" s="63">
        <v>7</v>
      </c>
      <c r="C38" s="63">
        <v>89110</v>
      </c>
      <c r="D38" s="64">
        <v>39224</v>
      </c>
      <c r="E38" s="63" t="s">
        <v>197</v>
      </c>
      <c r="F38" s="63">
        <v>39960</v>
      </c>
      <c r="G38" s="63">
        <v>7777</v>
      </c>
      <c r="H38" s="63" t="s">
        <v>198</v>
      </c>
      <c r="I38" s="63" t="s">
        <v>199</v>
      </c>
    </row>
    <row r="39" spans="2:9">
      <c r="B39" s="63">
        <v>8</v>
      </c>
      <c r="C39" s="63">
        <v>51150</v>
      </c>
      <c r="D39" s="64">
        <v>39232</v>
      </c>
      <c r="E39" s="63" t="s">
        <v>200</v>
      </c>
      <c r="F39" s="63">
        <v>180000</v>
      </c>
      <c r="G39" s="63">
        <v>8888</v>
      </c>
      <c r="H39" s="63" t="s">
        <v>198</v>
      </c>
      <c r="I39" s="63" t="s">
        <v>199</v>
      </c>
    </row>
    <row r="40" spans="2:9">
      <c r="B40" s="63">
        <v>9</v>
      </c>
      <c r="C40" s="63">
        <v>47430</v>
      </c>
      <c r="D40" s="64">
        <v>39240</v>
      </c>
      <c r="E40" s="63" t="s">
        <v>204</v>
      </c>
      <c r="F40" s="63">
        <v>7200</v>
      </c>
      <c r="G40" s="63">
        <v>9999</v>
      </c>
      <c r="H40" s="63" t="s">
        <v>198</v>
      </c>
      <c r="I40" s="63" t="s">
        <v>199</v>
      </c>
    </row>
    <row r="41" spans="2:9">
      <c r="B41" s="63">
        <v>10</v>
      </c>
      <c r="C41" s="63">
        <v>47020</v>
      </c>
      <c r="D41" s="64">
        <v>39243</v>
      </c>
      <c r="E41" s="63" t="s">
        <v>197</v>
      </c>
      <c r="F41" s="63">
        <v>6200</v>
      </c>
      <c r="G41" s="63">
        <v>8888</v>
      </c>
      <c r="H41" s="63" t="s">
        <v>198</v>
      </c>
      <c r="I41" s="63" t="s">
        <v>199</v>
      </c>
    </row>
    <row r="42" spans="2:9">
      <c r="B42" s="63">
        <v>11</v>
      </c>
      <c r="C42" s="63">
        <v>64370</v>
      </c>
      <c r="D42" s="64">
        <v>39257</v>
      </c>
      <c r="E42" s="63" t="s">
        <v>205</v>
      </c>
      <c r="F42" s="63">
        <v>90000</v>
      </c>
      <c r="G42" s="63">
        <v>8888</v>
      </c>
      <c r="H42" s="63" t="s">
        <v>198</v>
      </c>
      <c r="I42" s="63" t="s">
        <v>199</v>
      </c>
    </row>
    <row r="43" spans="2:9">
      <c r="B43" s="63">
        <v>12</v>
      </c>
      <c r="C43" s="63">
        <v>96050</v>
      </c>
      <c r="D43" s="64">
        <v>39257</v>
      </c>
      <c r="E43" s="63" t="s">
        <v>206</v>
      </c>
      <c r="F43" s="63">
        <v>68500</v>
      </c>
      <c r="G43" s="63">
        <v>7777</v>
      </c>
      <c r="H43" s="63" t="s">
        <v>198</v>
      </c>
      <c r="I43" s="63" t="s">
        <v>199</v>
      </c>
    </row>
    <row r="44" spans="2:9">
      <c r="B44" s="63">
        <v>13</v>
      </c>
      <c r="C44" s="63">
        <v>53420</v>
      </c>
      <c r="D44" s="64">
        <v>39257</v>
      </c>
      <c r="E44" s="63" t="s">
        <v>205</v>
      </c>
      <c r="F44" s="63">
        <v>90000</v>
      </c>
      <c r="G44" s="63">
        <v>8888</v>
      </c>
      <c r="H44" s="63" t="s">
        <v>198</v>
      </c>
      <c r="I44" s="63" t="s">
        <v>199</v>
      </c>
    </row>
    <row r="45" spans="2:9">
      <c r="B45" s="63">
        <v>14</v>
      </c>
      <c r="C45" s="63">
        <v>30320</v>
      </c>
      <c r="D45" s="64">
        <v>39257</v>
      </c>
      <c r="E45" s="63" t="s">
        <v>197</v>
      </c>
      <c r="F45" s="63">
        <v>11760</v>
      </c>
      <c r="G45" s="63">
        <v>8888</v>
      </c>
      <c r="H45" s="63" t="s">
        <v>198</v>
      </c>
      <c r="I45" s="63" t="s">
        <v>199</v>
      </c>
    </row>
    <row r="46" spans="2:9">
      <c r="B46" s="63">
        <v>15</v>
      </c>
      <c r="C46" s="63">
        <v>57110</v>
      </c>
      <c r="D46" s="64">
        <v>39265</v>
      </c>
      <c r="E46" s="63" t="s">
        <v>197</v>
      </c>
      <c r="F46" s="63">
        <v>9000</v>
      </c>
      <c r="G46" s="63">
        <v>8888</v>
      </c>
      <c r="H46" s="63" t="s">
        <v>198</v>
      </c>
      <c r="I46" s="63" t="s">
        <v>199</v>
      </c>
    </row>
    <row r="47" spans="2:9">
      <c r="B47" s="63">
        <v>16</v>
      </c>
      <c r="C47" s="63">
        <v>98600</v>
      </c>
      <c r="D47" s="64">
        <v>39274</v>
      </c>
      <c r="E47" s="63" t="s">
        <v>197</v>
      </c>
      <c r="F47" s="63">
        <v>10000</v>
      </c>
      <c r="G47" s="63">
        <v>8888</v>
      </c>
      <c r="H47" s="63" t="s">
        <v>198</v>
      </c>
      <c r="I47" s="63" t="s">
        <v>199</v>
      </c>
    </row>
    <row r="48" spans="2:9">
      <c r="B48" s="63">
        <v>17</v>
      </c>
      <c r="C48" s="63">
        <v>89560</v>
      </c>
      <c r="D48" s="64">
        <v>39283</v>
      </c>
      <c r="E48" s="63" t="s">
        <v>200</v>
      </c>
      <c r="F48" s="63">
        <v>180000</v>
      </c>
      <c r="G48" s="63">
        <v>7777</v>
      </c>
      <c r="H48" s="63" t="s">
        <v>198</v>
      </c>
      <c r="I48" s="63" t="s">
        <v>199</v>
      </c>
    </row>
    <row r="49" spans="2:9">
      <c r="B49" s="63">
        <v>18</v>
      </c>
      <c r="C49" s="63">
        <v>42280</v>
      </c>
      <c r="D49" s="64">
        <v>39303</v>
      </c>
      <c r="E49" s="63" t="s">
        <v>207</v>
      </c>
      <c r="F49" s="63">
        <v>22530</v>
      </c>
      <c r="G49" s="63">
        <v>7777</v>
      </c>
      <c r="H49" s="63" t="s">
        <v>198</v>
      </c>
      <c r="I49" s="63" t="s">
        <v>199</v>
      </c>
    </row>
    <row r="50" spans="2:9">
      <c r="B50" s="63">
        <v>19</v>
      </c>
      <c r="C50" s="63">
        <v>91890</v>
      </c>
      <c r="D50" s="64">
        <v>39305</v>
      </c>
      <c r="E50" s="63" t="s">
        <v>208</v>
      </c>
      <c r="F50" s="63">
        <v>95780</v>
      </c>
      <c r="G50" s="63">
        <v>8888</v>
      </c>
      <c r="H50" s="63" t="s">
        <v>198</v>
      </c>
      <c r="I50" s="63" t="s">
        <v>199</v>
      </c>
    </row>
    <row r="51" spans="2:9">
      <c r="B51" s="63">
        <v>20</v>
      </c>
      <c r="C51" s="63">
        <v>29250</v>
      </c>
      <c r="D51" s="64">
        <v>39311</v>
      </c>
      <c r="E51" s="63" t="s">
        <v>197</v>
      </c>
      <c r="F51" s="63">
        <v>6700</v>
      </c>
      <c r="G51" s="63">
        <v>8888</v>
      </c>
      <c r="H51" s="63" t="s">
        <v>198</v>
      </c>
      <c r="I51" s="63" t="s">
        <v>199</v>
      </c>
    </row>
  </sheetData>
  <scenarios current="0">
    <scenario name="순이익 인상" locked="1" count="1" user="82109" comment="만든 사람 82109 날짜 2021-10-20">
      <inputCells r="H17" val="0.3" numFmtId="9"/>
    </scenario>
    <scenario name="순이익 인하" locked="1" count="1" user="82109" comment="만든 사람 82109 날짜 2021-10-20">
      <inputCells r="H17" val="0.2" numFmtId="9"/>
    </scenario>
  </scenarios>
  <dataConsolidate/>
  <mergeCells count="9">
    <mergeCell ref="B5:B10"/>
    <mergeCell ref="B11:B14"/>
    <mergeCell ref="B15:C15"/>
    <mergeCell ref="F17:G17"/>
    <mergeCell ref="B1:H1"/>
    <mergeCell ref="B3:C4"/>
    <mergeCell ref="D3:F3"/>
    <mergeCell ref="G3:G4"/>
    <mergeCell ref="H3:H4"/>
  </mergeCells>
  <phoneticPr fontId="1" type="noConversion"/>
  <conditionalFormatting sqref="E32:E51">
    <cfRule type="uniqueValues" dxfId="0" priority="1"/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변동추이분석">
                <anchor moveWithCells="1" sizeWithCells="1">
                  <from>
                    <xdr:col>1</xdr:col>
                    <xdr:colOff>678180</xdr:colOff>
                    <xdr:row>18</xdr:row>
                    <xdr:rowOff>15240</xdr:rowOff>
                  </from>
                  <to>
                    <xdr:col>3</xdr:col>
                    <xdr:colOff>769620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고유값구분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N22"/>
  <sheetViews>
    <sheetView tabSelected="1" topLeftCell="A4" workbookViewId="0">
      <selection activeCell="G4" sqref="G4"/>
    </sheetView>
  </sheetViews>
  <sheetFormatPr defaultColWidth="9" defaultRowHeight="17.399999999999999"/>
  <cols>
    <col min="1" max="1" width="4.796875" customWidth="1"/>
    <col min="2" max="8" width="8.69921875"/>
    <col min="9" max="9" width="6.296875" customWidth="1"/>
    <col min="10" max="10" width="11" bestFit="1" customWidth="1"/>
    <col min="11" max="11" width="8.59765625" bestFit="1" customWidth="1"/>
    <col min="12" max="12" width="13" bestFit="1" customWidth="1"/>
    <col min="13" max="13" width="12.796875" bestFit="1" customWidth="1"/>
    <col min="14" max="14" width="8.69921875" customWidth="1"/>
    <col min="15" max="16384" width="9" style="1"/>
  </cols>
  <sheetData>
    <row r="2" spans="2:13">
      <c r="B2" t="s">
        <v>150</v>
      </c>
      <c r="C2" t="s">
        <v>151</v>
      </c>
    </row>
    <row r="4" spans="2:13">
      <c r="B4" s="12" t="s">
        <v>152</v>
      </c>
      <c r="C4" s="12" t="s">
        <v>153</v>
      </c>
      <c r="D4" s="12" t="s">
        <v>154</v>
      </c>
      <c r="E4" s="12" t="s">
        <v>155</v>
      </c>
      <c r="F4" s="12" t="s">
        <v>156</v>
      </c>
    </row>
    <row r="5" spans="2:13">
      <c r="B5" s="12" t="s">
        <v>157</v>
      </c>
      <c r="C5" s="12" t="s">
        <v>158</v>
      </c>
      <c r="D5" s="12" t="s">
        <v>159</v>
      </c>
      <c r="E5" s="12" t="s">
        <v>160</v>
      </c>
      <c r="F5" s="12">
        <v>100000</v>
      </c>
      <c r="I5" s="12" t="s">
        <v>161</v>
      </c>
      <c r="J5" s="5" t="s">
        <v>162</v>
      </c>
      <c r="K5" s="5" t="s">
        <v>163</v>
      </c>
      <c r="L5" s="5" t="s">
        <v>164</v>
      </c>
      <c r="M5" s="5" t="s">
        <v>165</v>
      </c>
    </row>
    <row r="6" spans="2:13">
      <c r="B6" s="12"/>
      <c r="C6" s="12"/>
      <c r="D6" s="12"/>
      <c r="E6" s="12"/>
      <c r="F6" s="12"/>
      <c r="I6" s="96" t="s">
        <v>166</v>
      </c>
      <c r="J6" s="5" t="s">
        <v>167</v>
      </c>
      <c r="K6" s="5" t="s">
        <v>168</v>
      </c>
      <c r="L6" s="61">
        <v>70000</v>
      </c>
      <c r="M6" s="5">
        <v>15</v>
      </c>
    </row>
    <row r="7" spans="2:13">
      <c r="B7" s="12"/>
      <c r="C7" s="12"/>
      <c r="D7" s="12"/>
      <c r="E7" s="12"/>
      <c r="F7" s="12"/>
      <c r="I7" s="97"/>
      <c r="J7" s="5" t="s">
        <v>169</v>
      </c>
      <c r="K7" s="5" t="s">
        <v>170</v>
      </c>
      <c r="L7" s="61">
        <v>150000</v>
      </c>
      <c r="M7" s="5">
        <v>10</v>
      </c>
    </row>
    <row r="8" spans="2:13">
      <c r="B8" s="12"/>
      <c r="C8" s="12"/>
      <c r="D8" s="12"/>
      <c r="E8" s="12"/>
      <c r="F8" s="12"/>
      <c r="I8" s="97"/>
      <c r="J8" s="5" t="s">
        <v>171</v>
      </c>
      <c r="K8" s="5" t="s">
        <v>172</v>
      </c>
      <c r="L8" s="61">
        <v>100000</v>
      </c>
      <c r="M8" s="5">
        <v>15</v>
      </c>
    </row>
    <row r="9" spans="2:13">
      <c r="B9" s="12"/>
      <c r="C9" s="12"/>
      <c r="D9" s="12"/>
      <c r="E9" s="12"/>
      <c r="F9" s="12"/>
      <c r="I9" s="12" t="s">
        <v>161</v>
      </c>
      <c r="J9" s="5" t="s">
        <v>162</v>
      </c>
      <c r="K9" s="5" t="s">
        <v>163</v>
      </c>
      <c r="L9" s="5" t="s">
        <v>164</v>
      </c>
      <c r="M9" s="5" t="s">
        <v>165</v>
      </c>
    </row>
    <row r="10" spans="2:13">
      <c r="B10" s="12"/>
      <c r="C10" s="12"/>
      <c r="D10" s="12"/>
      <c r="E10" s="12"/>
      <c r="F10" s="12"/>
      <c r="I10" s="97" t="s">
        <v>173</v>
      </c>
      <c r="J10" s="5" t="s">
        <v>167</v>
      </c>
      <c r="K10" s="5" t="s">
        <v>174</v>
      </c>
      <c r="L10" s="61">
        <v>100000</v>
      </c>
      <c r="M10" s="5">
        <v>25</v>
      </c>
    </row>
    <row r="11" spans="2:13">
      <c r="B11" s="12"/>
      <c r="C11" s="12"/>
      <c r="D11" s="12"/>
      <c r="E11" s="12"/>
      <c r="F11" s="12"/>
      <c r="I11" s="97"/>
      <c r="J11" s="5" t="s">
        <v>175</v>
      </c>
      <c r="K11" s="5" t="s">
        <v>176</v>
      </c>
      <c r="L11" s="61">
        <v>150000</v>
      </c>
      <c r="M11" s="5">
        <v>15</v>
      </c>
    </row>
    <row r="12" spans="2:13">
      <c r="B12" s="12"/>
      <c r="C12" s="12"/>
      <c r="D12" s="12"/>
      <c r="E12" s="12"/>
      <c r="F12" s="12"/>
      <c r="I12" s="97"/>
      <c r="J12" s="5" t="s">
        <v>169</v>
      </c>
      <c r="K12" s="5" t="s">
        <v>177</v>
      </c>
      <c r="L12" s="61">
        <v>130000</v>
      </c>
      <c r="M12" s="5">
        <v>15</v>
      </c>
    </row>
    <row r="13" spans="2:13">
      <c r="B13" s="12"/>
      <c r="C13" s="12"/>
      <c r="D13" s="12"/>
      <c r="E13" s="12"/>
      <c r="F13" s="12"/>
      <c r="I13" s="97"/>
      <c r="J13" s="5" t="s">
        <v>178</v>
      </c>
      <c r="K13" s="5" t="s">
        <v>179</v>
      </c>
      <c r="L13" s="61">
        <v>200000</v>
      </c>
      <c r="M13" s="5">
        <v>10</v>
      </c>
    </row>
    <row r="14" spans="2:13">
      <c r="B14" s="12"/>
      <c r="C14" s="12"/>
      <c r="D14" s="12"/>
      <c r="E14" s="12"/>
      <c r="F14" s="12"/>
      <c r="I14" s="97"/>
      <c r="J14" s="5" t="s">
        <v>180</v>
      </c>
      <c r="K14" s="5" t="s">
        <v>181</v>
      </c>
      <c r="L14" s="61">
        <v>250000</v>
      </c>
      <c r="M14" s="5">
        <v>10</v>
      </c>
    </row>
    <row r="15" spans="2:13">
      <c r="B15" s="12"/>
      <c r="C15" s="12"/>
      <c r="D15" s="12"/>
      <c r="E15" s="12"/>
      <c r="F15" s="12"/>
      <c r="I15" s="97"/>
      <c r="J15" s="5" t="s">
        <v>171</v>
      </c>
      <c r="K15" s="5" t="s">
        <v>182</v>
      </c>
      <c r="L15" s="61">
        <v>100000</v>
      </c>
      <c r="M15" s="5">
        <v>25</v>
      </c>
    </row>
    <row r="16" spans="2:13">
      <c r="B16" s="12"/>
      <c r="C16" s="12"/>
      <c r="D16" s="12"/>
      <c r="E16" s="12"/>
      <c r="F16" s="12"/>
      <c r="I16" s="12" t="s">
        <v>161</v>
      </c>
      <c r="J16" s="5" t="s">
        <v>162</v>
      </c>
      <c r="K16" s="5" t="s">
        <v>163</v>
      </c>
      <c r="L16" s="5" t="s">
        <v>164</v>
      </c>
      <c r="M16" s="5" t="s">
        <v>165</v>
      </c>
    </row>
    <row r="17" spans="2:13">
      <c r="B17" s="12"/>
      <c r="C17" s="12"/>
      <c r="D17" s="12"/>
      <c r="E17" s="12"/>
      <c r="F17" s="12"/>
      <c r="I17" s="96" t="s">
        <v>183</v>
      </c>
      <c r="J17" s="5" t="s">
        <v>167</v>
      </c>
      <c r="K17" s="5" t="s">
        <v>184</v>
      </c>
      <c r="L17" s="61">
        <v>100000</v>
      </c>
      <c r="M17" s="5">
        <v>25</v>
      </c>
    </row>
    <row r="18" spans="2:13">
      <c r="B18" s="12"/>
      <c r="C18" s="12"/>
      <c r="D18" s="12"/>
      <c r="E18" s="12"/>
      <c r="F18" s="12"/>
      <c r="I18" s="96"/>
      <c r="J18" s="5" t="s">
        <v>175</v>
      </c>
      <c r="K18" s="5" t="s">
        <v>185</v>
      </c>
      <c r="L18" s="61">
        <v>150000</v>
      </c>
      <c r="M18" s="5">
        <v>10</v>
      </c>
    </row>
    <row r="19" spans="2:13">
      <c r="B19" s="12"/>
      <c r="C19" s="12"/>
      <c r="D19" s="12"/>
      <c r="E19" s="12"/>
      <c r="F19" s="12"/>
      <c r="I19" s="96"/>
      <c r="J19" s="5" t="s">
        <v>169</v>
      </c>
      <c r="K19" s="5" t="s">
        <v>186</v>
      </c>
      <c r="L19" s="61">
        <v>150000</v>
      </c>
      <c r="M19" s="5">
        <v>15</v>
      </c>
    </row>
    <row r="20" spans="2:13">
      <c r="B20" s="12"/>
      <c r="C20" s="12"/>
      <c r="D20" s="12"/>
      <c r="E20" s="12"/>
      <c r="F20" s="12"/>
      <c r="I20" s="96"/>
      <c r="J20" s="5" t="s">
        <v>178</v>
      </c>
      <c r="K20" s="5" t="s">
        <v>179</v>
      </c>
      <c r="L20" s="61">
        <v>200000</v>
      </c>
      <c r="M20" s="5">
        <v>10</v>
      </c>
    </row>
    <row r="21" spans="2:13">
      <c r="B21" s="12"/>
      <c r="C21" s="12"/>
      <c r="D21" s="12"/>
      <c r="E21" s="12"/>
      <c r="F21" s="12"/>
      <c r="I21" s="96"/>
      <c r="J21" s="5" t="s">
        <v>180</v>
      </c>
      <c r="K21" s="5" t="s">
        <v>187</v>
      </c>
      <c r="L21" s="61">
        <v>300000</v>
      </c>
      <c r="M21" s="5">
        <v>10</v>
      </c>
    </row>
    <row r="22" spans="2:13">
      <c r="I22" s="96"/>
      <c r="J22" s="5" t="s">
        <v>171</v>
      </c>
      <c r="K22" s="5" t="s">
        <v>188</v>
      </c>
      <c r="L22" s="61">
        <v>100000</v>
      </c>
      <c r="M22" s="5">
        <v>25</v>
      </c>
    </row>
  </sheetData>
  <mergeCells count="3">
    <mergeCell ref="I6:I8"/>
    <mergeCell ref="I10:I15"/>
    <mergeCell ref="I17:I2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601980</xdr:colOff>
                <xdr:row>0</xdr:row>
                <xdr:rowOff>144780</xdr:rowOff>
              </from>
              <to>
                <xdr:col>7</xdr:col>
                <xdr:colOff>182880</xdr:colOff>
                <xdr:row>2</xdr:row>
                <xdr:rowOff>83820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분석작업-1</vt:lpstr>
      <vt:lpstr>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순이익율</vt:lpstr>
      <vt:lpstr>순이익합계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2017-08-17T05:48:40Z</cp:lastPrinted>
  <dcterms:created xsi:type="dcterms:W3CDTF">2016-04-11T07:21:32Z</dcterms:created>
  <dcterms:modified xsi:type="dcterms:W3CDTF">2021-10-21T03:42:55Z</dcterms:modified>
</cp:coreProperties>
</file>