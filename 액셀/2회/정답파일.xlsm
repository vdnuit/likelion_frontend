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업로드교재용\컴활1급실기 예제-21년 강의실용3\컴활1급실기 예제\1-2016버전 엑셀\02-엑셀 출제유형분석2회\"/>
    </mc:Choice>
  </mc:AlternateContent>
  <bookViews>
    <workbookView showVerticalScroll="0" xWindow="600" yWindow="60" windowWidth="8685" windowHeight="5265" tabRatio="596" activeTab="2"/>
  </bookViews>
  <sheets>
    <sheet name="기본작업-1" sheetId="9" r:id="rId1"/>
    <sheet name="계산작업" sheetId="3" r:id="rId2"/>
    <sheet name="분석작업-1" sheetId="10" r:id="rId3"/>
    <sheet name="분석작업-2" sheetId="12" r:id="rId4"/>
    <sheet name="기타작업-1" sheetId="11" r:id="rId5"/>
    <sheet name="기타작업-2" sheetId="13" r:id="rId6"/>
    <sheet name="기타작업-3" sheetId="8" r:id="rId7"/>
  </sheets>
  <functionGroups builtInGroupCount="18"/>
  <definedNames>
    <definedName name="_xlnm._FilterDatabase" localSheetId="3" hidden="1">'분석작업-2'!$B$2:$F$35</definedName>
  </definedNames>
  <calcPr calcId="162913"/>
  <pivotCaches>
    <pivotCache cacheId="0" r:id="rId8"/>
  </pivotCaches>
</workbook>
</file>

<file path=xl/calcChain.xml><?xml version="1.0" encoding="utf-8"?>
<calcChain xmlns="http://schemas.openxmlformats.org/spreadsheetml/2006/main">
  <c r="F39" i="13" l="1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5" i="13"/>
  <c r="F14" i="13"/>
  <c r="F13" i="13"/>
  <c r="F12" i="13"/>
  <c r="F11" i="13"/>
  <c r="F10" i="13"/>
  <c r="F9" i="13"/>
  <c r="F8" i="13"/>
  <c r="F7" i="13"/>
  <c r="G22" i="9" l="1"/>
  <c r="F22" i="9"/>
  <c r="C22" i="9"/>
  <c r="J18" i="9"/>
  <c r="J17" i="9"/>
  <c r="J16" i="9"/>
  <c r="J15" i="9"/>
  <c r="J14" i="9"/>
  <c r="J13" i="9"/>
  <c r="J12" i="9"/>
  <c r="J11" i="9"/>
  <c r="J10" i="9"/>
  <c r="J9" i="9"/>
  <c r="J8" i="9"/>
  <c r="J7" i="9"/>
  <c r="J6" i="9"/>
  <c r="J5" i="9"/>
  <c r="J4" i="9"/>
  <c r="J3" i="9"/>
  <c r="D41" i="3" l="1" a="1"/>
  <c r="D41" i="3" s="1"/>
  <c r="E41" i="3" a="1"/>
  <c r="E41" i="3" s="1"/>
  <c r="F41" i="3" a="1"/>
  <c r="F41" i="3" s="1"/>
  <c r="D42" i="3" a="1"/>
  <c r="D42" i="3" s="1"/>
  <c r="E42" i="3" a="1"/>
  <c r="E42" i="3" s="1"/>
  <c r="F42" i="3" a="1"/>
  <c r="F42" i="3" s="1"/>
  <c r="D43" i="3" a="1"/>
  <c r="D43" i="3" s="1"/>
  <c r="E43" i="3" a="1"/>
  <c r="E43" i="3" s="1"/>
  <c r="F43" i="3" a="1"/>
  <c r="F43" i="3" s="1"/>
  <c r="D44" i="3" a="1"/>
  <c r="D44" i="3" s="1"/>
  <c r="E44" i="3" a="1"/>
  <c r="E44" i="3" s="1"/>
  <c r="F44" i="3" a="1"/>
  <c r="F44" i="3" s="1"/>
  <c r="C42" i="3" a="1"/>
  <c r="C42" i="3" s="1"/>
  <c r="C43" i="3" a="1"/>
  <c r="C43" i="3" s="1"/>
  <c r="C44" i="3" a="1"/>
  <c r="C44" i="3" s="1"/>
  <c r="C41" i="3" a="1"/>
  <c r="C41" i="3" s="1"/>
  <c r="G24" i="3" a="1"/>
  <c r="G24" i="3" s="1"/>
  <c r="G25" i="3" a="1"/>
  <c r="G25" i="3" s="1"/>
  <c r="G26" i="3" a="1"/>
  <c r="G26" i="3" s="1"/>
  <c r="G27" i="3" a="1"/>
  <c r="G27" i="3" s="1"/>
  <c r="F25" i="3" a="1"/>
  <c r="F25" i="3" s="1"/>
  <c r="F26" i="3" a="1"/>
  <c r="F26" i="3" s="1"/>
  <c r="F27" i="3" a="1"/>
  <c r="F27" i="3" s="1"/>
  <c r="F24" i="3" a="1"/>
  <c r="F24" i="3" s="1"/>
  <c r="D24" i="3" a="1"/>
  <c r="D24" i="3" s="1"/>
  <c r="D25" i="3" a="1"/>
  <c r="D25" i="3" s="1"/>
  <c r="D26" i="3" a="1"/>
  <c r="D26" i="3" s="1"/>
  <c r="D27" i="3" a="1"/>
  <c r="D27" i="3" s="1"/>
  <c r="C25" i="3" a="1"/>
  <c r="C25" i="3" s="1"/>
  <c r="C26" i="3" a="1"/>
  <c r="C26" i="3" s="1"/>
  <c r="C27" i="3" a="1"/>
  <c r="C27" i="3" s="1"/>
  <c r="C24" i="3" a="1"/>
  <c r="C24" i="3" s="1"/>
  <c r="G31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3" i="3"/>
  <c r="M12" i="3"/>
  <c r="M9" i="3"/>
  <c r="M4" i="3"/>
  <c r="M3" i="3"/>
  <c r="M10" i="3"/>
  <c r="M13" i="3"/>
  <c r="M7" i="3"/>
  <c r="M14" i="3"/>
  <c r="M17" i="3"/>
  <c r="M18" i="3"/>
  <c r="M16" i="3"/>
  <c r="M5" i="3"/>
  <c r="M6" i="3"/>
  <c r="M8" i="3"/>
  <c r="M11" i="3"/>
  <c r="M15" i="3"/>
</calcChain>
</file>

<file path=xl/sharedStrings.xml><?xml version="1.0" encoding="utf-8"?>
<sst xmlns="http://schemas.openxmlformats.org/spreadsheetml/2006/main" count="571" uniqueCount="182">
  <si>
    <t>[표1]</t>
    <phoneticPr fontId="2" type="noConversion"/>
  </si>
  <si>
    <t>직급</t>
  </si>
  <si>
    <t>호봉</t>
  </si>
  <si>
    <t>성명</t>
  </si>
  <si>
    <t>학생지도</t>
  </si>
  <si>
    <t>연구과제</t>
  </si>
  <si>
    <t>연구논문</t>
  </si>
  <si>
    <t>산학협동</t>
  </si>
  <si>
    <t>경영학</t>
  </si>
  <si>
    <t>이원섭</t>
  </si>
  <si>
    <t>전산학</t>
  </si>
  <si>
    <t>한성현</t>
  </si>
  <si>
    <t>전자공학</t>
  </si>
  <si>
    <t>전임강사</t>
  </si>
  <si>
    <t>황선철</t>
  </si>
  <si>
    <t>방극준</t>
  </si>
  <si>
    <t>경제학</t>
  </si>
  <si>
    <t>인정제</t>
  </si>
  <si>
    <t>영어영문학</t>
  </si>
  <si>
    <t>장기웅</t>
  </si>
  <si>
    <t>비서학</t>
  </si>
  <si>
    <t>노창용</t>
  </si>
  <si>
    <t>유봉선</t>
  </si>
  <si>
    <t>이상봉</t>
  </si>
  <si>
    <t>회계학</t>
  </si>
  <si>
    <t>이기상</t>
  </si>
  <si>
    <t>정태은</t>
  </si>
  <si>
    <t>신경국</t>
  </si>
  <si>
    <t>조교수</t>
  </si>
  <si>
    <t>박태호</t>
  </si>
  <si>
    <t>조상진</t>
  </si>
  <si>
    <t>정은미</t>
  </si>
  <si>
    <t>이나영</t>
  </si>
  <si>
    <t>구분</t>
    <phoneticPr fontId="2" type="noConversion"/>
  </si>
  <si>
    <t>연구과제</t>
    <phoneticPr fontId="2" type="noConversion"/>
  </si>
  <si>
    <t>연구논문</t>
    <phoneticPr fontId="2" type="noConversion"/>
  </si>
  <si>
    <t>산학협동</t>
    <phoneticPr fontId="2" type="noConversion"/>
  </si>
  <si>
    <t>사회봉사</t>
    <phoneticPr fontId="2" type="noConversion"/>
  </si>
  <si>
    <t>비서학과</t>
    <phoneticPr fontId="2" type="noConversion"/>
  </si>
  <si>
    <t>성명</t>
    <phoneticPr fontId="2" type="noConversion"/>
  </si>
  <si>
    <t>경영학과</t>
    <phoneticPr fontId="2" type="noConversion"/>
  </si>
  <si>
    <t>경제학과</t>
    <phoneticPr fontId="2" type="noConversion"/>
  </si>
  <si>
    <t>무역학과</t>
    <phoneticPr fontId="2" type="noConversion"/>
  </si>
  <si>
    <t>학과</t>
    <phoneticPr fontId="2" type="noConversion"/>
  </si>
  <si>
    <t>직급</t>
    <phoneticPr fontId="2" type="noConversion"/>
  </si>
  <si>
    <t>업적</t>
    <phoneticPr fontId="2" type="noConversion"/>
  </si>
  <si>
    <t>부교수</t>
    <phoneticPr fontId="2" type="noConversion"/>
  </si>
  <si>
    <t>부교수</t>
    <phoneticPr fontId="2" type="noConversion"/>
  </si>
  <si>
    <t>장기웅</t>
    <phoneticPr fontId="2" type="noConversion"/>
  </si>
  <si>
    <t>인정제</t>
    <phoneticPr fontId="2" type="noConversion"/>
  </si>
  <si>
    <t>이원섭</t>
    <phoneticPr fontId="2" type="noConversion"/>
  </si>
  <si>
    <t>한성현</t>
    <phoneticPr fontId="2" type="noConversion"/>
  </si>
  <si>
    <t>황선철</t>
    <phoneticPr fontId="2" type="noConversion"/>
  </si>
  <si>
    <t>방극준</t>
    <phoneticPr fontId="2" type="noConversion"/>
  </si>
  <si>
    <t>조교수</t>
    <phoneticPr fontId="2" type="noConversion"/>
  </si>
  <si>
    <t>조교수</t>
    <phoneticPr fontId="2" type="noConversion"/>
  </si>
  <si>
    <t>이상봉</t>
    <phoneticPr fontId="2" type="noConversion"/>
  </si>
  <si>
    <t>정은미</t>
    <phoneticPr fontId="2" type="noConversion"/>
  </si>
  <si>
    <t>정태은</t>
    <phoneticPr fontId="2" type="noConversion"/>
  </si>
  <si>
    <t>신경국</t>
    <phoneticPr fontId="2" type="noConversion"/>
  </si>
  <si>
    <t>유봉선</t>
    <phoneticPr fontId="2" type="noConversion"/>
  </si>
  <si>
    <t>노창용</t>
    <phoneticPr fontId="2" type="noConversion"/>
  </si>
  <si>
    <t>박태호</t>
    <phoneticPr fontId="2" type="noConversion"/>
  </si>
  <si>
    <t>이기상</t>
    <phoneticPr fontId="2" type="noConversion"/>
  </si>
  <si>
    <t>조상진</t>
    <phoneticPr fontId="2" type="noConversion"/>
  </si>
  <si>
    <t>이나영</t>
    <phoneticPr fontId="2" type="noConversion"/>
  </si>
  <si>
    <t>코드번호</t>
    <phoneticPr fontId="2" type="noConversion"/>
  </si>
  <si>
    <t>분반</t>
    <phoneticPr fontId="2" type="noConversion"/>
  </si>
  <si>
    <t>부임년도</t>
    <phoneticPr fontId="2" type="noConversion"/>
  </si>
  <si>
    <t>2010년</t>
    <phoneticPr fontId="1" type="noConversion"/>
  </si>
  <si>
    <t>2011년</t>
    <phoneticPr fontId="1" type="noConversion"/>
  </si>
  <si>
    <t>2012년</t>
    <phoneticPr fontId="1" type="noConversion"/>
  </si>
  <si>
    <t>[표2]</t>
    <phoneticPr fontId="2" type="noConversion"/>
  </si>
  <si>
    <t>[표4]</t>
    <phoneticPr fontId="2" type="noConversion"/>
  </si>
  <si>
    <t>승진가산점</t>
    <phoneticPr fontId="2" type="noConversion"/>
  </si>
  <si>
    <t>[표3] 승진 가산점 참조표</t>
    <phoneticPr fontId="1" type="noConversion"/>
  </si>
  <si>
    <t>직원번호</t>
  </si>
  <si>
    <t>직급코드</t>
  </si>
  <si>
    <t>근속기간</t>
  </si>
  <si>
    <t>학과</t>
  </si>
  <si>
    <t>개설강좌</t>
  </si>
  <si>
    <t>초과강의</t>
  </si>
  <si>
    <t>사회봉사</t>
  </si>
  <si>
    <t>김웅래</t>
  </si>
  <si>
    <t>TP</t>
  </si>
  <si>
    <t>교수</t>
  </si>
  <si>
    <t>경영학과</t>
  </si>
  <si>
    <t>최재식</t>
  </si>
  <si>
    <t>윤여송</t>
  </si>
  <si>
    <t>영문학과</t>
  </si>
  <si>
    <t>전한호</t>
  </si>
  <si>
    <t>경제학과</t>
  </si>
  <si>
    <t>민병국</t>
  </si>
  <si>
    <t>김경희</t>
  </si>
  <si>
    <t>비서학과</t>
  </si>
  <si>
    <t>구현식</t>
  </si>
  <si>
    <t>무역학과</t>
  </si>
  <si>
    <t>AS1</t>
  </si>
  <si>
    <t>부교수</t>
  </si>
  <si>
    <t>AS2</t>
  </si>
  <si>
    <t>유근순</t>
  </si>
  <si>
    <t>김준성</t>
  </si>
  <si>
    <t>INS</t>
  </si>
  <si>
    <t>최상열</t>
  </si>
  <si>
    <t>한성일</t>
  </si>
  <si>
    <t>정태훈</t>
  </si>
  <si>
    <t>정재민</t>
  </si>
  <si>
    <t>이보금</t>
  </si>
  <si>
    <t>이정은</t>
  </si>
  <si>
    <t>안기순</t>
  </si>
  <si>
    <t>조명래</t>
  </si>
  <si>
    <t>전응식</t>
  </si>
  <si>
    <t>이준경</t>
  </si>
  <si>
    <t>남진우</t>
  </si>
  <si>
    <t>김훈학</t>
  </si>
  <si>
    <t>김우식</t>
  </si>
  <si>
    <t>업적합계</t>
    <phoneticPr fontId="2" type="noConversion"/>
  </si>
  <si>
    <t>&lt;표1&gt; 업적 입력</t>
    <phoneticPr fontId="1" type="noConversion"/>
  </si>
  <si>
    <t>수강인원</t>
    <phoneticPr fontId="2" type="noConversion"/>
  </si>
  <si>
    <t>구기자</t>
    <phoneticPr fontId="2" type="noConversion"/>
  </si>
  <si>
    <t>김향진</t>
    <phoneticPr fontId="2" type="noConversion"/>
  </si>
  <si>
    <t>이미영</t>
    <phoneticPr fontId="2" type="noConversion"/>
  </si>
  <si>
    <t>한명구</t>
    <phoneticPr fontId="2" type="noConversion"/>
  </si>
  <si>
    <t>승진가산점, 다른풀이</t>
    <phoneticPr fontId="1" type="noConversion"/>
  </si>
  <si>
    <t>&lt;if를 사용하지 않은 풀이&gt;</t>
    <phoneticPr fontId="1" type="noConversion"/>
  </si>
  <si>
    <t>* INDEX, MATCH, MAX 함수를 적용한 배열수식 사용--&gt; 매치에도 조건을 줄 것</t>
    <phoneticPr fontId="1" type="noConversion"/>
  </si>
  <si>
    <t>* INDEX, MATCH, MAX 함수를 적용한 일반식 - 조건을 원래 줄수 없어 매치에 조건을 주지 않는다.</t>
    <phoneticPr fontId="1" type="noConversion"/>
  </si>
  <si>
    <t>총합계</t>
  </si>
  <si>
    <t>합계 : 연구과제</t>
  </si>
  <si>
    <t>합계 : 연구논문</t>
  </si>
  <si>
    <t>값</t>
  </si>
  <si>
    <t>1-5</t>
  </si>
  <si>
    <t>6-10</t>
  </si>
  <si>
    <t>11-15</t>
  </si>
  <si>
    <t>16-20</t>
  </si>
  <si>
    <t>21-25</t>
  </si>
  <si>
    <t>수고하셨습니다.</t>
  </si>
  <si>
    <t>전공</t>
    <phoneticPr fontId="2" type="noConversion"/>
  </si>
  <si>
    <t>합계</t>
    <phoneticPr fontId="1" type="noConversion"/>
  </si>
  <si>
    <t>전임교수</t>
    <phoneticPr fontId="2" type="noConversion"/>
  </si>
  <si>
    <t>경영정보학</t>
    <phoneticPr fontId="1" type="noConversion"/>
  </si>
  <si>
    <t>시간강사</t>
    <phoneticPr fontId="2" type="noConversion"/>
  </si>
  <si>
    <t>시간강사</t>
    <phoneticPr fontId="2" type="noConversion"/>
  </si>
  <si>
    <t>직급</t>
    <phoneticPr fontId="1" type="noConversion"/>
  </si>
  <si>
    <t>학생지도</t>
    <phoneticPr fontId="1" type="noConversion"/>
  </si>
  <si>
    <t>조건1</t>
    <phoneticPr fontId="1" type="noConversion"/>
  </si>
  <si>
    <t>조건2</t>
    <phoneticPr fontId="1" type="noConversion"/>
  </si>
  <si>
    <t>전임*</t>
    <phoneticPr fontId="1" type="noConversion"/>
  </si>
  <si>
    <t>합계</t>
    <phoneticPr fontId="1" type="noConversion"/>
  </si>
  <si>
    <t>경영정보학</t>
    <phoneticPr fontId="1" type="noConversion"/>
  </si>
  <si>
    <t>강사명</t>
    <phoneticPr fontId="2" type="noConversion"/>
  </si>
  <si>
    <t>정원</t>
    <phoneticPr fontId="2" type="noConversion"/>
  </si>
  <si>
    <t>사오정</t>
    <phoneticPr fontId="2" type="noConversion"/>
  </si>
  <si>
    <t>오동추</t>
    <phoneticPr fontId="2" type="noConversion"/>
  </si>
  <si>
    <t>우정민</t>
    <phoneticPr fontId="2" type="noConversion"/>
  </si>
  <si>
    <t>꽃</t>
  </si>
  <si>
    <t>지역명</t>
  </si>
  <si>
    <t>개화일</t>
  </si>
  <si>
    <t>평년</t>
  </si>
  <si>
    <t>평년차</t>
  </si>
  <si>
    <t>개나리</t>
  </si>
  <si>
    <t>강릉</t>
  </si>
  <si>
    <t>벚꽃</t>
  </si>
  <si>
    <t>진달래</t>
  </si>
  <si>
    <t>광주</t>
  </si>
  <si>
    <t>대구</t>
  </si>
  <si>
    <t>대전</t>
  </si>
  <si>
    <t>부산</t>
  </si>
  <si>
    <t>서귀포</t>
  </si>
  <si>
    <t>서울</t>
  </si>
  <si>
    <t>수원</t>
  </si>
  <si>
    <t>여수</t>
  </si>
  <si>
    <t>인천</t>
  </si>
  <si>
    <t>전주</t>
  </si>
  <si>
    <t>꽃</t>
    <phoneticPr fontId="1" type="noConversion"/>
  </si>
  <si>
    <t>개화일</t>
    <phoneticPr fontId="1" type="noConversion"/>
  </si>
  <si>
    <t>평년</t>
    <phoneticPr fontId="2" type="noConversion"/>
  </si>
  <si>
    <t>평년차</t>
    <phoneticPr fontId="1" type="noConversion"/>
  </si>
  <si>
    <t>벚꽃</t>
    <phoneticPr fontId="1" type="noConversion"/>
  </si>
  <si>
    <t>진달래</t>
    <phoneticPr fontId="1" type="noConversion"/>
  </si>
  <si>
    <t>개나리</t>
    <phoneticPr fontId="1" type="noConversion"/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</si>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</sst>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mm&quot;월&quot;\ dd&quot;일&quot;;@"/>
  </numFmts>
  <fonts count="1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b/>
      <sz val="11"/>
      <color theme="0"/>
      <name val="맑은 고딕"/>
      <family val="2"/>
      <charset val="129"/>
      <scheme val="minor"/>
    </font>
    <font>
      <sz val="10"/>
      <name val="Arial"/>
      <family val="2"/>
    </font>
    <font>
      <b/>
      <sz val="11"/>
      <name val="맑은 고딕"/>
      <family val="3"/>
      <charset val="129"/>
      <scheme val="major"/>
    </font>
    <font>
      <b/>
      <sz val="11"/>
      <color rgb="FF000000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8">
    <xf numFmtId="0" fontId="0" fillId="0" borderId="0">
      <alignment vertical="center"/>
    </xf>
    <xf numFmtId="0" fontId="5" fillId="0" borderId="0"/>
    <xf numFmtId="9" fontId="5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0" fontId="6" fillId="0" borderId="0"/>
    <xf numFmtId="0" fontId="9" fillId="0" borderId="0"/>
    <xf numFmtId="0" fontId="6" fillId="0" borderId="0"/>
    <xf numFmtId="0" fontId="11" fillId="0" borderId="0"/>
  </cellStyleXfs>
  <cellXfs count="55">
    <xf numFmtId="0" fontId="0" fillId="0" borderId="0" xfId="0">
      <alignment vertical="center"/>
    </xf>
    <xf numFmtId="0" fontId="0" fillId="0" borderId="0" xfId="0" applyAlignment="1"/>
    <xf numFmtId="0" fontId="8" fillId="0" borderId="1" xfId="0" applyFont="1" applyBorder="1" applyAlignment="1">
      <alignment horizontal="center" vertical="center"/>
    </xf>
    <xf numFmtId="0" fontId="3" fillId="0" borderId="0" xfId="0" applyFont="1" applyAlignment="1"/>
    <xf numFmtId="0" fontId="3" fillId="0" borderId="0" xfId="0" applyFont="1" applyAlignment="1">
      <alignment horizontal="center"/>
    </xf>
    <xf numFmtId="0" fontId="8" fillId="0" borderId="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0" xfId="0" applyFont="1" applyBorder="1" applyAlignment="1">
      <alignment horizontal="center" vertical="center"/>
    </xf>
    <xf numFmtId="0" fontId="7" fillId="2" borderId="1" xfId="4" applyFont="1" applyFill="1" applyBorder="1" applyAlignment="1">
      <alignment horizontal="center" vertical="center"/>
    </xf>
    <xf numFmtId="0" fontId="7" fillId="0" borderId="0" xfId="4" applyFont="1" applyFill="1" applyBorder="1" applyAlignment="1">
      <alignment horizontal="left" vertical="center" wrapText="1"/>
    </xf>
    <xf numFmtId="0" fontId="7" fillId="0" borderId="0" xfId="4" applyFont="1" applyFill="1" applyBorder="1" applyAlignment="1">
      <alignment vertical="center" wrapText="1"/>
    </xf>
    <xf numFmtId="0" fontId="7" fillId="0" borderId="0" xfId="4" applyFont="1" applyFill="1" applyBorder="1" applyAlignment="1">
      <alignment horizontal="center" vertical="center" wrapText="1"/>
    </xf>
    <xf numFmtId="0" fontId="8" fillId="0" borderId="0" xfId="0" applyFont="1" applyBorder="1" applyAlignment="1">
      <alignment vertical="center"/>
    </xf>
    <xf numFmtId="0" fontId="8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0" borderId="0" xfId="0" applyFont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41" fontId="8" fillId="0" borderId="1" xfId="3" applyFont="1" applyBorder="1" applyAlignment="1">
      <alignment horizontal="center" vertical="center"/>
    </xf>
    <xf numFmtId="41" fontId="8" fillId="0" borderId="0" xfId="0" applyNumberFormat="1" applyFo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1" xfId="3" applyNumberFormat="1" applyFont="1" applyBorder="1" applyAlignment="1">
      <alignment horizontal="center" vertical="center"/>
    </xf>
    <xf numFmtId="0" fontId="8" fillId="0" borderId="1" xfId="0" applyFont="1" applyBorder="1">
      <alignment vertical="center"/>
    </xf>
    <xf numFmtId="0" fontId="7" fillId="0" borderId="3" xfId="5" applyFont="1" applyFill="1" applyBorder="1" applyAlignment="1">
      <alignment wrapText="1"/>
    </xf>
    <xf numFmtId="0" fontId="0" fillId="0" borderId="1" xfId="0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0" fillId="0" borderId="1" xfId="0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0" xfId="0" applyNumberFormat="1">
      <alignment vertical="center"/>
    </xf>
    <xf numFmtId="0" fontId="7" fillId="0" borderId="0" xfId="4" applyFont="1" applyFill="1" applyBorder="1" applyAlignment="1" applyProtection="1">
      <alignment horizontal="center" vertical="center" wrapText="1"/>
      <protection hidden="1"/>
    </xf>
    <xf numFmtId="0" fontId="7" fillId="2" borderId="2" xfId="6" applyFont="1" applyFill="1" applyBorder="1" applyAlignment="1">
      <alignment horizontal="center"/>
    </xf>
    <xf numFmtId="0" fontId="7" fillId="0" borderId="3" xfId="6" applyFont="1" applyFill="1" applyBorder="1" applyAlignment="1">
      <alignment horizontal="right" wrapText="1"/>
    </xf>
    <xf numFmtId="0" fontId="7" fillId="0" borderId="3" xfId="6" applyFont="1" applyFill="1" applyBorder="1" applyAlignment="1">
      <alignment wrapText="1"/>
    </xf>
    <xf numFmtId="0" fontId="10" fillId="5" borderId="4" xfId="0" applyFont="1" applyFill="1" applyBorder="1" applyAlignment="1">
      <alignment horizontal="center" vertical="center"/>
    </xf>
    <xf numFmtId="0" fontId="10" fillId="5" borderId="5" xfId="0" applyFont="1" applyFill="1" applyBorder="1" applyAlignment="1">
      <alignment horizontal="center" vertical="center"/>
    </xf>
    <xf numFmtId="0" fontId="10" fillId="5" borderId="6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14" fontId="0" fillId="0" borderId="5" xfId="0" applyNumberFormat="1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12" fillId="0" borderId="1" xfId="7" applyFont="1" applyBorder="1" applyAlignment="1">
      <alignment horizontal="center" vertical="center"/>
    </xf>
    <xf numFmtId="0" fontId="13" fillId="0" borderId="1" xfId="7" applyFont="1" applyBorder="1" applyAlignment="1">
      <alignment horizontal="center" vertical="center" wrapText="1"/>
    </xf>
    <xf numFmtId="0" fontId="14" fillId="0" borderId="0" xfId="7" applyFont="1"/>
    <xf numFmtId="0" fontId="14" fillId="0" borderId="1" xfId="7" applyFont="1" applyBorder="1" applyAlignment="1">
      <alignment horizontal="center" vertical="center"/>
    </xf>
    <xf numFmtId="0" fontId="15" fillId="0" borderId="1" xfId="7" applyFont="1" applyBorder="1" applyAlignment="1">
      <alignment horizontal="center" wrapText="1"/>
    </xf>
    <xf numFmtId="176" fontId="15" fillId="0" borderId="1" xfId="7" applyNumberFormat="1" applyFont="1" applyBorder="1" applyAlignment="1">
      <alignment horizontal="center" wrapText="1"/>
    </xf>
    <xf numFmtId="0" fontId="15" fillId="0" borderId="1" xfId="7" applyNumberFormat="1" applyFont="1" applyBorder="1" applyAlignment="1">
      <alignment horizontal="center" wrapText="1"/>
    </xf>
    <xf numFmtId="0" fontId="14" fillId="0" borderId="0" xfId="7" applyFont="1" applyAlignment="1">
      <alignment horizontal="center" vertical="center"/>
    </xf>
    <xf numFmtId="0" fontId="14" fillId="0" borderId="0" xfId="7" applyFont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0" fillId="0" borderId="0" xfId="0" pivotButton="1">
      <alignment vertical="center"/>
    </xf>
  </cellXfs>
  <cellStyles count="8">
    <cellStyle name="백분율 2" xfId="2"/>
    <cellStyle name="쉼표 [0]" xfId="3" builtinId="6"/>
    <cellStyle name="표준" xfId="0" builtinId="0"/>
    <cellStyle name="표준 2" xfId="1"/>
    <cellStyle name="표준 2 2" xfId="7"/>
    <cellStyle name="표준_Sheet1" xfId="4"/>
    <cellStyle name="표준_분석작업-1_1" xfId="5"/>
    <cellStyle name="표준_분석작업-1_1 2" xfId="6"/>
  </cellStyles>
  <dxfs count="2">
    <dxf>
      <font>
        <b/>
        <i val="0"/>
        <condense val="0"/>
        <extend val="0"/>
        <color indexed="12"/>
      </font>
    </dxf>
    <dxf>
      <font>
        <b/>
        <i/>
      </font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강사별 접수 현황</a:t>
            </a:r>
          </a:p>
        </c:rich>
      </c:tx>
      <c:overlay val="0"/>
      <c:spPr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0.13954318210223721"/>
          <c:y val="0.13583435403907848"/>
          <c:w val="0.61079448402283043"/>
          <c:h val="0.76009980233952235"/>
        </c:manualLayout>
      </c:layout>
      <c:doughnutChart>
        <c:varyColors val="1"/>
        <c:ser>
          <c:idx val="0"/>
          <c:order val="0"/>
          <c:tx>
            <c:strRef>
              <c:f>'기타작업-1'!$C$2</c:f>
              <c:strCache>
                <c:ptCount val="1"/>
                <c:pt idx="0">
                  <c:v>정원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3A15-408B-A177-9A9C840A3F57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3A15-408B-A177-9A9C840A3F57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3A15-408B-A177-9A9C840A3F57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3A15-408B-A177-9A9C840A3F57}"/>
              </c:ext>
            </c:extLst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3A15-408B-A177-9A9C840A3F57}"/>
              </c:ext>
            </c:extLst>
          </c:dPt>
          <c:dPt>
            <c:idx val="6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3A15-408B-A177-9A9C840A3F57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  <a:cs typeface="돋움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'기타작업-1'!$B$3:$B$9</c:f>
              <c:strCache>
                <c:ptCount val="7"/>
                <c:pt idx="0">
                  <c:v>구기자</c:v>
                </c:pt>
                <c:pt idx="1">
                  <c:v>김향진</c:v>
                </c:pt>
                <c:pt idx="2">
                  <c:v>사오정</c:v>
                </c:pt>
                <c:pt idx="3">
                  <c:v>오동추</c:v>
                </c:pt>
                <c:pt idx="4">
                  <c:v>우정민</c:v>
                </c:pt>
                <c:pt idx="5">
                  <c:v>이미영</c:v>
                </c:pt>
                <c:pt idx="6">
                  <c:v>한명구</c:v>
                </c:pt>
              </c:strCache>
            </c:strRef>
          </c:cat>
          <c:val>
            <c:numRef>
              <c:f>'기타작업-1'!$C$3:$C$9</c:f>
              <c:numCache>
                <c:formatCode>General</c:formatCode>
                <c:ptCount val="7"/>
                <c:pt idx="0">
                  <c:v>35</c:v>
                </c:pt>
                <c:pt idx="1">
                  <c:v>25</c:v>
                </c:pt>
                <c:pt idx="2">
                  <c:v>35</c:v>
                </c:pt>
                <c:pt idx="3">
                  <c:v>25</c:v>
                </c:pt>
                <c:pt idx="4">
                  <c:v>25</c:v>
                </c:pt>
                <c:pt idx="5">
                  <c:v>30</c:v>
                </c:pt>
                <c:pt idx="6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A15-408B-A177-9A9C840A3F57}"/>
            </c:ext>
          </c:extLst>
        </c:ser>
        <c:ser>
          <c:idx val="1"/>
          <c:order val="1"/>
          <c:tx>
            <c:strRef>
              <c:f>'기타작업-1'!$D$2</c:f>
              <c:strCache>
                <c:ptCount val="1"/>
                <c:pt idx="0">
                  <c:v>수강인원</c:v>
                </c:pt>
              </c:strCache>
            </c:strRef>
          </c:tx>
          <c:dPt>
            <c:idx val="1"/>
            <c:bubble3D val="0"/>
            <c:explosion val="18"/>
            <c:extLst>
              <c:ext xmlns:c16="http://schemas.microsoft.com/office/drawing/2014/chart" uri="{C3380CC4-5D6E-409C-BE32-E72D297353CC}">
                <c16:uniqueId val="{0000000E-3A15-408B-A177-9A9C840A3F5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rgbClr val="FF0000"/>
                    </a:solidFill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'기타작업-1'!$D$3:$D$9</c:f>
              <c:numCache>
                <c:formatCode>General</c:formatCode>
                <c:ptCount val="7"/>
                <c:pt idx="0">
                  <c:v>35</c:v>
                </c:pt>
                <c:pt idx="1">
                  <c:v>20</c:v>
                </c:pt>
                <c:pt idx="2">
                  <c:v>32</c:v>
                </c:pt>
                <c:pt idx="3">
                  <c:v>27</c:v>
                </c:pt>
                <c:pt idx="4">
                  <c:v>27</c:v>
                </c:pt>
                <c:pt idx="5">
                  <c:v>16</c:v>
                </c:pt>
                <c:pt idx="6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A15-408B-A177-9A9C840A3F5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15"/>
        <c:holeSize val="20"/>
      </c:doughnutChart>
      <c:spPr>
        <a:solidFill>
          <a:schemeClr val="bg1"/>
        </a:solidFill>
        <a:ln w="25400">
          <a:noFill/>
        </a:ln>
      </c:spPr>
    </c:plotArea>
    <c:legend>
      <c:legendPos val="b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돋움"/>
              <a:ea typeface="돋움"/>
              <a:cs typeface="돋움"/>
            </a:defRPr>
          </a:pPr>
          <a:endParaRPr lang="ko-KR"/>
        </a:p>
      </c:txPr>
    </c:legend>
    <c:plotVisOnly val="1"/>
    <c:dispBlanksAs val="zero"/>
    <c:showDLblsOverMax val="0"/>
  </c:chart>
  <c:spPr>
    <a:solidFill>
      <a:srgbClr val="FFFF00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000000000000022" r="0.75000000000000022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676275</xdr:colOff>
      <xdr:row>0</xdr:row>
      <xdr:rowOff>200025</xdr:rowOff>
    </xdr:from>
    <xdr:to>
      <xdr:col>11</xdr:col>
      <xdr:colOff>676275</xdr:colOff>
      <xdr:row>19</xdr:row>
      <xdr:rowOff>76200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</xdr:row>
      <xdr:rowOff>0</xdr:rowOff>
    </xdr:from>
    <xdr:to>
      <xdr:col>6</xdr:col>
      <xdr:colOff>0</xdr:colOff>
      <xdr:row>3</xdr:row>
      <xdr:rowOff>0</xdr:rowOff>
    </xdr:to>
    <xdr:sp macro="[0]!서식해제" textlink="">
      <xdr:nvSpPr>
        <xdr:cNvPr id="2" name="직사각형 1"/>
        <xdr:cNvSpPr/>
      </xdr:nvSpPr>
      <xdr:spPr>
        <a:xfrm>
          <a:off x="3095625" y="209550"/>
          <a:ext cx="1609725" cy="41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서식해제</a:t>
          </a:r>
          <a:endParaRPr lang="en-US" altLang="ko-K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666750</xdr:colOff>
          <xdr:row>9</xdr:row>
          <xdr:rowOff>104775</xdr:rowOff>
        </xdr:from>
        <xdr:to>
          <xdr:col>10</xdr:col>
          <xdr:colOff>466725</xdr:colOff>
          <xdr:row>12</xdr:row>
          <xdr:rowOff>76200</xdr:rowOff>
        </xdr:to>
        <xdr:sp macro="" textlink="">
          <xdr:nvSpPr>
            <xdr:cNvPr id="3075" name="Cmd업적입력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&#50500;&#51060;&#54000;&#48260;&#54016;&#47785;\Desktop\&#52980;&#54876;1&#44553;&#49892;&#44592;%20&#50696;&#51228;\1-&#52636;&#51228;&#50976;&#54805;&#48516;&#49437;%20&#50641;&#49472;\02-&#52636;&#51228;&#50976;&#54805;&#48516;&#49437;2&#54924;\&#51221;&#45813;&#54028;&#51068;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cam" refreshedDate="44065.631222222219" createdVersion="6" refreshedVersion="6" minRefreshableVersion="3" recordCount="38">
  <cacheSource type="worksheet">
    <worksheetSource ref="B2:O40" sheet="분석작업-1" r:id="rId2"/>
  </cacheSource>
  <cacheFields count="14">
    <cacheField name="직원번호" numFmtId="0">
      <sharedItems containsSemiMixedTypes="0" containsString="0" containsNumber="1" containsInteger="1" minValue="17001" maxValue="17038"/>
    </cacheField>
    <cacheField name="성명" numFmtId="0">
      <sharedItems/>
    </cacheField>
    <cacheField name="호봉" numFmtId="0">
      <sharedItems containsSemiMixedTypes="0" containsString="0" containsNumber="1" containsInteger="1" minValue="3" maxValue="24" count="18">
        <n v="22"/>
        <n v="23"/>
        <n v="21"/>
        <n v="24"/>
        <n v="19"/>
        <n v="18"/>
        <n v="17"/>
        <n v="14"/>
        <n v="12"/>
        <n v="11"/>
        <n v="10"/>
        <n v="9"/>
        <n v="8"/>
        <n v="6"/>
        <n v="5"/>
        <n v="4"/>
        <n v="7"/>
        <n v="3"/>
      </sharedItems>
      <fieldGroup base="2">
        <rangePr autoStart="0" autoEnd="0" startNum="1" endNum="25" groupInterval="5"/>
        <groupItems count="7">
          <s v="&lt;1"/>
          <s v="1-5"/>
          <s v="6-10"/>
          <s v="11-15"/>
          <s v="16-20"/>
          <s v="21-25"/>
          <s v="&gt;26"/>
        </groupItems>
      </fieldGroup>
    </cacheField>
    <cacheField name="직급코드" numFmtId="0">
      <sharedItems/>
    </cacheField>
    <cacheField name="직급" numFmtId="0">
      <sharedItems count="4">
        <s v="교수"/>
        <s v="부교수"/>
        <s v="조교수"/>
        <s v="전임강사"/>
      </sharedItems>
    </cacheField>
    <cacheField name="근속기간" numFmtId="0">
      <sharedItems containsSemiMixedTypes="0" containsString="0" containsNumber="1" containsInteger="1" minValue="1" maxValue="27"/>
    </cacheField>
    <cacheField name="학과" numFmtId="0">
      <sharedItems count="5">
        <s v="경영학과"/>
        <s v="영문학과"/>
        <s v="경제학과"/>
        <s v="비서학과"/>
        <s v="무역학과"/>
      </sharedItems>
    </cacheField>
    <cacheField name="개설강좌" numFmtId="0">
      <sharedItems containsSemiMixedTypes="0" containsString="0" containsNumber="1" containsInteger="1" minValue="1" maxValue="7"/>
    </cacheField>
    <cacheField name="초과강의" numFmtId="0">
      <sharedItems containsSemiMixedTypes="0" containsString="0" containsNumber="1" containsInteger="1" minValue="0" maxValue="12"/>
    </cacheField>
    <cacheField name="학생지도" numFmtId="0">
      <sharedItems containsSemiMixedTypes="0" containsString="0" containsNumber="1" containsInteger="1" minValue="120" maxValue="320"/>
    </cacheField>
    <cacheField name="연구과제" numFmtId="0">
      <sharedItems containsSemiMixedTypes="0" containsString="0" containsNumber="1" containsInteger="1" minValue="1" maxValue="9"/>
    </cacheField>
    <cacheField name="연구논문" numFmtId="0">
      <sharedItems containsSemiMixedTypes="0" containsString="0" containsNumber="1" containsInteger="1" minValue="1" maxValue="9"/>
    </cacheField>
    <cacheField name="산학협동" numFmtId="0">
      <sharedItems containsSemiMixedTypes="0" containsString="0" containsNumber="1" containsInteger="1" minValue="2" maxValue="19"/>
    </cacheField>
    <cacheField name="사회봉사" numFmtId="0">
      <sharedItems containsSemiMixedTypes="0" containsString="0" containsNumber="1" containsInteger="1" minValue="1" maxValue="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">
  <r>
    <n v="17001"/>
    <s v="김웅래"/>
    <x v="0"/>
    <s v="TP"/>
    <x v="0"/>
    <n v="27"/>
    <x v="0"/>
    <n v="3"/>
    <n v="10"/>
    <n v="320"/>
    <n v="7"/>
    <n v="4"/>
    <n v="2"/>
    <n v="2"/>
  </r>
  <r>
    <n v="17002"/>
    <s v="최재식"/>
    <x v="0"/>
    <s v="TP"/>
    <x v="0"/>
    <n v="20"/>
    <x v="0"/>
    <n v="2"/>
    <n v="9"/>
    <n v="270"/>
    <n v="6"/>
    <n v="3"/>
    <n v="3"/>
    <n v="3"/>
  </r>
  <r>
    <n v="17003"/>
    <s v="윤여송"/>
    <x v="1"/>
    <s v="TP"/>
    <x v="0"/>
    <n v="21"/>
    <x v="1"/>
    <n v="5"/>
    <n v="8"/>
    <n v="160"/>
    <n v="7"/>
    <n v="4"/>
    <n v="4"/>
    <n v="5"/>
  </r>
  <r>
    <n v="17004"/>
    <s v="전한호"/>
    <x v="2"/>
    <s v="TP"/>
    <x v="0"/>
    <n v="19"/>
    <x v="2"/>
    <n v="4"/>
    <n v="10"/>
    <n v="270"/>
    <n v="6"/>
    <n v="3"/>
    <n v="5"/>
    <n v="5"/>
  </r>
  <r>
    <n v="17005"/>
    <s v="민병국"/>
    <x v="2"/>
    <s v="TP"/>
    <x v="0"/>
    <n v="19"/>
    <x v="1"/>
    <n v="1"/>
    <n v="9"/>
    <n v="160"/>
    <n v="9"/>
    <n v="5"/>
    <n v="7"/>
    <n v="2"/>
  </r>
  <r>
    <n v="17006"/>
    <s v="김경희"/>
    <x v="0"/>
    <s v="TP"/>
    <x v="0"/>
    <n v="20"/>
    <x v="3"/>
    <n v="5"/>
    <n v="8"/>
    <n v="120"/>
    <n v="2"/>
    <n v="2"/>
    <n v="12"/>
    <n v="1"/>
  </r>
  <r>
    <n v="17007"/>
    <s v="구현식"/>
    <x v="3"/>
    <s v="TP"/>
    <x v="0"/>
    <n v="22"/>
    <x v="4"/>
    <n v="4"/>
    <n v="7"/>
    <n v="270"/>
    <n v="5"/>
    <n v="9"/>
    <n v="11"/>
    <n v="4"/>
  </r>
  <r>
    <n v="17008"/>
    <s v="장기웅"/>
    <x v="4"/>
    <s v="AS1"/>
    <x v="1"/>
    <n v="17"/>
    <x v="3"/>
    <n v="3"/>
    <n v="0"/>
    <n v="300"/>
    <n v="4"/>
    <n v="1"/>
    <n v="9"/>
    <n v="2"/>
  </r>
  <r>
    <n v="17009"/>
    <s v="인정제"/>
    <x v="5"/>
    <s v="AS1"/>
    <x v="1"/>
    <n v="16"/>
    <x v="0"/>
    <n v="3"/>
    <n v="5"/>
    <n v="270"/>
    <n v="3"/>
    <n v="5"/>
    <n v="8"/>
    <n v="3"/>
  </r>
  <r>
    <n v="17010"/>
    <s v="이원섭"/>
    <x v="5"/>
    <s v="AS1"/>
    <x v="1"/>
    <n v="16"/>
    <x v="0"/>
    <n v="3"/>
    <n v="2"/>
    <n v="300"/>
    <n v="1"/>
    <n v="6"/>
    <n v="17"/>
    <n v="6"/>
  </r>
  <r>
    <n v="17011"/>
    <s v="한성현"/>
    <x v="4"/>
    <s v="AS1"/>
    <x v="1"/>
    <n v="17"/>
    <x v="3"/>
    <n v="2"/>
    <n v="3"/>
    <n v="270"/>
    <n v="7"/>
    <n v="7"/>
    <n v="15"/>
    <n v="4"/>
  </r>
  <r>
    <n v="17012"/>
    <s v="황선철"/>
    <x v="5"/>
    <s v="AS1"/>
    <x v="1"/>
    <n v="16"/>
    <x v="2"/>
    <n v="2"/>
    <n v="4"/>
    <n v="160"/>
    <n v="6"/>
    <n v="4"/>
    <n v="15"/>
    <n v="4"/>
  </r>
  <r>
    <n v="17013"/>
    <s v="방극준"/>
    <x v="6"/>
    <s v="AS1"/>
    <x v="1"/>
    <n v="15"/>
    <x v="4"/>
    <n v="3"/>
    <n v="5"/>
    <n v="270"/>
    <n v="8"/>
    <n v="3"/>
    <n v="14"/>
    <n v="4"/>
  </r>
  <r>
    <n v="17014"/>
    <s v="이상봉"/>
    <x v="6"/>
    <s v="AS2"/>
    <x v="2"/>
    <n v="15"/>
    <x v="3"/>
    <n v="3"/>
    <n v="6"/>
    <n v="320"/>
    <n v="8"/>
    <n v="4"/>
    <n v="13"/>
    <n v="5"/>
  </r>
  <r>
    <n v="17015"/>
    <s v="정은미"/>
    <x v="4"/>
    <s v="AS2"/>
    <x v="2"/>
    <n v="17"/>
    <x v="3"/>
    <n v="4"/>
    <n v="5"/>
    <n v="300"/>
    <n v="7"/>
    <n v="3"/>
    <n v="19"/>
    <n v="2"/>
  </r>
  <r>
    <n v="17016"/>
    <s v="정태은"/>
    <x v="7"/>
    <s v="AS2"/>
    <x v="2"/>
    <n v="12"/>
    <x v="2"/>
    <n v="3"/>
    <n v="2"/>
    <n v="270"/>
    <n v="6"/>
    <n v="5"/>
    <n v="2"/>
    <n v="2"/>
  </r>
  <r>
    <n v="17017"/>
    <s v="신경국"/>
    <x v="7"/>
    <s v="AS2"/>
    <x v="2"/>
    <n v="12"/>
    <x v="4"/>
    <n v="3"/>
    <n v="1"/>
    <n v="320"/>
    <n v="7"/>
    <n v="2"/>
    <n v="3"/>
    <n v="2"/>
  </r>
  <r>
    <n v="17018"/>
    <s v="유봉선"/>
    <x v="8"/>
    <s v="AS2"/>
    <x v="2"/>
    <n v="10"/>
    <x v="0"/>
    <n v="4"/>
    <n v="1"/>
    <n v="160"/>
    <n v="6"/>
    <n v="9"/>
    <n v="4"/>
    <n v="11"/>
  </r>
  <r>
    <n v="17019"/>
    <s v="노창용"/>
    <x v="9"/>
    <s v="AS2"/>
    <x v="2"/>
    <n v="9"/>
    <x v="0"/>
    <n v="3"/>
    <n v="3"/>
    <n v="300"/>
    <n v="9"/>
    <n v="1"/>
    <n v="5"/>
    <n v="19"/>
  </r>
  <r>
    <n v="17020"/>
    <s v="박태호"/>
    <x v="10"/>
    <s v="AS2"/>
    <x v="2"/>
    <n v="8"/>
    <x v="0"/>
    <n v="3"/>
    <n v="5"/>
    <n v="270"/>
    <n v="2"/>
    <n v="5"/>
    <n v="7"/>
    <n v="2"/>
  </r>
  <r>
    <n v="17021"/>
    <s v="이기상"/>
    <x v="10"/>
    <s v="AS2"/>
    <x v="2"/>
    <n v="8"/>
    <x v="0"/>
    <n v="4"/>
    <n v="0"/>
    <n v="270"/>
    <n v="5"/>
    <n v="6"/>
    <n v="12"/>
    <n v="5"/>
  </r>
  <r>
    <n v="17022"/>
    <s v="조상진"/>
    <x v="8"/>
    <s v="AS2"/>
    <x v="2"/>
    <n v="10"/>
    <x v="4"/>
    <n v="3"/>
    <n v="1"/>
    <n v="270"/>
    <n v="4"/>
    <n v="4"/>
    <n v="11"/>
    <n v="2"/>
  </r>
  <r>
    <n v="17023"/>
    <s v="이나영"/>
    <x v="8"/>
    <s v="AS2"/>
    <x v="2"/>
    <n v="10"/>
    <x v="3"/>
    <n v="4"/>
    <n v="12"/>
    <n v="300"/>
    <n v="7"/>
    <n v="3"/>
    <n v="9"/>
    <n v="1"/>
  </r>
  <r>
    <n v="17024"/>
    <s v="유근순"/>
    <x v="11"/>
    <s v="AS2"/>
    <x v="2"/>
    <n v="7"/>
    <x v="2"/>
    <n v="4"/>
    <n v="10"/>
    <n v="270"/>
    <n v="6"/>
    <n v="4"/>
    <n v="8"/>
    <n v="4"/>
  </r>
  <r>
    <n v="17025"/>
    <s v="김준성"/>
    <x v="12"/>
    <s v="INS"/>
    <x v="3"/>
    <n v="6"/>
    <x v="2"/>
    <n v="4"/>
    <n v="4"/>
    <n v="300"/>
    <n v="7"/>
    <n v="3"/>
    <n v="17"/>
    <n v="2"/>
  </r>
  <r>
    <n v="17026"/>
    <s v="최상열"/>
    <x v="13"/>
    <s v="INS"/>
    <x v="3"/>
    <n v="4"/>
    <x v="3"/>
    <n v="6"/>
    <n v="4"/>
    <n v="270"/>
    <n v="6"/>
    <n v="5"/>
    <n v="15"/>
    <n v="3"/>
  </r>
  <r>
    <n v="17027"/>
    <s v="한성일"/>
    <x v="14"/>
    <s v="INS"/>
    <x v="3"/>
    <n v="3"/>
    <x v="0"/>
    <n v="4"/>
    <n v="5"/>
    <n v="270"/>
    <n v="9"/>
    <n v="2"/>
    <n v="15"/>
    <n v="6"/>
  </r>
  <r>
    <n v="17028"/>
    <s v="정태훈"/>
    <x v="15"/>
    <s v="INS"/>
    <x v="3"/>
    <n v="2"/>
    <x v="3"/>
    <n v="6"/>
    <n v="6"/>
    <n v="300"/>
    <n v="2"/>
    <n v="9"/>
    <n v="14"/>
    <n v="4"/>
  </r>
  <r>
    <n v="17029"/>
    <s v="정재민"/>
    <x v="14"/>
    <s v="INS"/>
    <x v="3"/>
    <n v="3"/>
    <x v="1"/>
    <n v="5"/>
    <n v="7"/>
    <n v="270"/>
    <n v="5"/>
    <n v="1"/>
    <n v="4"/>
    <n v="4"/>
  </r>
  <r>
    <n v="17030"/>
    <s v="이보금"/>
    <x v="16"/>
    <s v="INS"/>
    <x v="3"/>
    <n v="5"/>
    <x v="1"/>
    <n v="7"/>
    <n v="7"/>
    <n v="320"/>
    <n v="4"/>
    <n v="5"/>
    <n v="5"/>
    <n v="4"/>
  </r>
  <r>
    <n v="17031"/>
    <s v="이정은"/>
    <x v="11"/>
    <s v="INS"/>
    <x v="3"/>
    <n v="7"/>
    <x v="0"/>
    <n v="5"/>
    <n v="8"/>
    <n v="320"/>
    <n v="3"/>
    <n v="6"/>
    <n v="7"/>
    <n v="5"/>
  </r>
  <r>
    <n v="17032"/>
    <s v="안기순"/>
    <x v="16"/>
    <s v="INS"/>
    <x v="3"/>
    <n v="5"/>
    <x v="3"/>
    <n v="6"/>
    <n v="1"/>
    <n v="300"/>
    <n v="1"/>
    <n v="7"/>
    <n v="12"/>
    <n v="2"/>
  </r>
  <r>
    <n v="17033"/>
    <s v="조명래"/>
    <x v="15"/>
    <s v="INS"/>
    <x v="3"/>
    <n v="2"/>
    <x v="4"/>
    <n v="6"/>
    <n v="12"/>
    <n v="270"/>
    <n v="7"/>
    <n v="7"/>
    <n v="11"/>
    <n v="2"/>
  </r>
  <r>
    <n v="17034"/>
    <s v="전응식"/>
    <x v="14"/>
    <s v="INS"/>
    <x v="3"/>
    <n v="3"/>
    <x v="2"/>
    <n v="6"/>
    <n v="5"/>
    <n v="300"/>
    <n v="6"/>
    <n v="7"/>
    <n v="9"/>
    <n v="2"/>
  </r>
  <r>
    <n v="17035"/>
    <s v="이준경"/>
    <x v="13"/>
    <s v="INS"/>
    <x v="3"/>
    <n v="4"/>
    <x v="4"/>
    <n v="4"/>
    <n v="6"/>
    <n v="320"/>
    <n v="8"/>
    <n v="5"/>
    <n v="8"/>
    <n v="11"/>
  </r>
  <r>
    <n v="17036"/>
    <s v="남진우"/>
    <x v="13"/>
    <s v="INS"/>
    <x v="3"/>
    <n v="4"/>
    <x v="0"/>
    <n v="4"/>
    <n v="4"/>
    <n v="120"/>
    <n v="8"/>
    <n v="5"/>
    <n v="17"/>
    <n v="9"/>
  </r>
  <r>
    <n v="17037"/>
    <s v="김훈학"/>
    <x v="17"/>
    <s v="INS"/>
    <x v="3"/>
    <n v="1"/>
    <x v="2"/>
    <n v="2"/>
    <n v="4"/>
    <n v="120"/>
    <n v="5"/>
    <n v="4"/>
    <n v="15"/>
    <n v="11"/>
  </r>
  <r>
    <n v="17038"/>
    <s v="김우식"/>
    <x v="17"/>
    <s v="INS"/>
    <x v="3"/>
    <n v="1"/>
    <x v="2"/>
    <n v="5"/>
    <n v="4"/>
    <n v="320"/>
    <n v="5"/>
    <n v="9"/>
    <n v="11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2" cacheId="0" dataOnRows="1" applyNumberFormats="0" applyBorderFormats="0" applyFontFormats="0" applyPatternFormats="0" applyAlignmentFormats="0" applyWidthHeightFormats="1" dataCaption="값" missingCaption="*" updatedVersion="6" minRefreshableVersion="3" useAutoFormatting="1" rowGrandTotals="0" itemPrintTitles="1" createdVersion="6" indent="0" compact="0" compactData="0" multipleFieldFilters="0">
  <location ref="B46:H57" firstHeaderRow="1" firstDataRow="2" firstDataCol="2"/>
  <pivotFields count="14">
    <pivotField compact="0" outline="0" showAll="0"/>
    <pivotField compact="0" outline="0" showAll="0"/>
    <pivotField axis="axisRow" compact="0" outline="0" showAll="0">
      <items count="8">
        <item x="0"/>
        <item x="1"/>
        <item x="2"/>
        <item x="3"/>
        <item x="4"/>
        <item x="5"/>
        <item x="6"/>
        <item t="default"/>
      </items>
    </pivotField>
    <pivotField compact="0" outline="0" showAll="0"/>
    <pivotField axis="axisCol" compact="0" outline="0" showAll="0">
      <items count="5">
        <item x="0"/>
        <item x="1"/>
        <item x="3"/>
        <item x="2"/>
        <item t="default"/>
      </items>
    </pivotField>
    <pivotField compact="0" outline="0" showAll="0"/>
    <pivotField compact="0" outline="0" showAll="0">
      <items count="6">
        <item x="0"/>
        <item x="2"/>
        <item x="4"/>
        <item x="3"/>
        <item x="1"/>
        <item t="default"/>
      </items>
    </pivotField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</pivotFields>
  <rowFields count="2">
    <field x="2"/>
    <field x="-2"/>
  </rowFields>
  <rowItems count="10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dataFields count="2">
    <dataField name="합계 : 연구과제" fld="10" baseField="0" baseItem="0"/>
    <dataField name="합계 : 연구논문" fld="11" baseField="0" baseItem="0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externalLinkPath" Target="file:///C:\&#49457;&#50672;&#51452;\&#52980;&#54876;2016\&#50641;&#49472;&#47928;&#51228;\&#44060;&#51064;&#48324;&#49548;&#46301;&#44277;&#51228;&#49888;&#52397;(&#51032;&#47308;&#48708;).xlsm" TargetMode="External"/><Relationship Id="rId7" Type="http://schemas.openxmlformats.org/officeDocument/2006/relationships/ctrlProp" Target="../ctrlProps/ctrlProp1.xml"/><Relationship Id="rId2" Type="http://schemas.openxmlformats.org/officeDocument/2006/relationships/externalLinkPath" Target="file:///C:\&#49457;&#50672;&#51452;\&#52980;&#54876;2016\&#50641;&#49472;&#47928;&#51228;\&#44060;&#51064;&#48324;&#49548;&#46301;&#44277;&#51228;&#49888;&#52397;(&#51032;&#47308;&#48708;).xlsm" TargetMode="External"/><Relationship Id="rId1" Type="http://schemas.openxmlformats.org/officeDocument/2006/relationships/externalLinkPath" Target="file:///C:\&#49457;&#50672;&#51452;\&#52980;&#54876;2016\&#50641;&#49472;&#47928;&#51228;\&#44060;&#51064;&#48324;&#49548;&#46301;&#44277;&#51228;&#49888;&#52397;(&#51032;&#47308;&#48708;).xlsm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L64"/>
  <sheetViews>
    <sheetView workbookViewId="0">
      <selection activeCell="F36" sqref="F36"/>
    </sheetView>
  </sheetViews>
  <sheetFormatPr defaultRowHeight="16.5"/>
  <cols>
    <col min="1" max="1" width="2.25" style="4" customWidth="1"/>
    <col min="2" max="2" width="11.875" style="6" customWidth="1"/>
    <col min="3" max="3" width="11" style="7" customWidth="1"/>
    <col min="4" max="4" width="7.5" style="6" bestFit="1" customWidth="1"/>
    <col min="5" max="5" width="10.75" style="6" customWidth="1"/>
    <col min="6" max="6" width="10.625" style="6" customWidth="1"/>
    <col min="7" max="7" width="10.125" style="6" customWidth="1"/>
    <col min="8" max="8" width="10.375" style="6" customWidth="1"/>
    <col min="9" max="9" width="9.25" style="6" customWidth="1"/>
    <col min="10" max="10" width="10.25" style="6" customWidth="1"/>
    <col min="11" max="11" width="9" style="3"/>
    <col min="12" max="12" width="9" style="4"/>
    <col min="13" max="16384" width="9" style="3"/>
  </cols>
  <sheetData>
    <row r="2" spans="2:10">
      <c r="B2" s="10" t="s">
        <v>137</v>
      </c>
      <c r="C2" s="10" t="s">
        <v>1</v>
      </c>
      <c r="D2" s="10" t="s">
        <v>2</v>
      </c>
      <c r="E2" s="10" t="s">
        <v>3</v>
      </c>
      <c r="F2" s="10" t="s">
        <v>4</v>
      </c>
      <c r="G2" s="10" t="s">
        <v>5</v>
      </c>
      <c r="H2" s="10" t="s">
        <v>6</v>
      </c>
      <c r="I2" s="10" t="s">
        <v>7</v>
      </c>
      <c r="J2" s="10" t="s">
        <v>138</v>
      </c>
    </row>
    <row r="3" spans="2:10">
      <c r="B3" s="11" t="s">
        <v>8</v>
      </c>
      <c r="C3" s="12" t="s">
        <v>139</v>
      </c>
      <c r="D3" s="13">
        <v>18</v>
      </c>
      <c r="E3" s="13" t="s">
        <v>9</v>
      </c>
      <c r="F3" s="13">
        <v>300</v>
      </c>
      <c r="G3" s="13">
        <v>1</v>
      </c>
      <c r="H3" s="13">
        <v>6</v>
      </c>
      <c r="I3" s="13">
        <v>17</v>
      </c>
      <c r="J3" s="33">
        <f>SUM(F3:I3)</f>
        <v>324</v>
      </c>
    </row>
    <row r="4" spans="2:10">
      <c r="B4" s="11" t="s">
        <v>10</v>
      </c>
      <c r="C4" s="12" t="s">
        <v>139</v>
      </c>
      <c r="D4" s="13">
        <v>19</v>
      </c>
      <c r="E4" s="13" t="s">
        <v>11</v>
      </c>
      <c r="F4" s="13">
        <v>270</v>
      </c>
      <c r="G4" s="13">
        <v>7</v>
      </c>
      <c r="H4" s="13">
        <v>7</v>
      </c>
      <c r="I4" s="13">
        <v>15</v>
      </c>
      <c r="J4" s="33">
        <f t="shared" ref="J4:J18" si="0">SUM(F4:I4)</f>
        <v>299</v>
      </c>
    </row>
    <row r="5" spans="2:10">
      <c r="B5" s="11" t="s">
        <v>12</v>
      </c>
      <c r="C5" s="12" t="s">
        <v>13</v>
      </c>
      <c r="D5" s="13">
        <v>18</v>
      </c>
      <c r="E5" s="13" t="s">
        <v>14</v>
      </c>
      <c r="F5" s="13">
        <v>160</v>
      </c>
      <c r="G5" s="13">
        <v>6</v>
      </c>
      <c r="H5" s="13">
        <v>4</v>
      </c>
      <c r="I5" s="13">
        <v>15</v>
      </c>
      <c r="J5" s="33">
        <f t="shared" si="0"/>
        <v>185</v>
      </c>
    </row>
    <row r="6" spans="2:10">
      <c r="B6" s="11" t="s">
        <v>8</v>
      </c>
      <c r="C6" s="12" t="s">
        <v>13</v>
      </c>
      <c r="D6" s="13">
        <v>17</v>
      </c>
      <c r="E6" s="13" t="s">
        <v>15</v>
      </c>
      <c r="F6" s="13">
        <v>270</v>
      </c>
      <c r="G6" s="13">
        <v>8</v>
      </c>
      <c r="H6" s="13">
        <v>3</v>
      </c>
      <c r="I6" s="13">
        <v>14</v>
      </c>
      <c r="J6" s="33">
        <f t="shared" si="0"/>
        <v>295</v>
      </c>
    </row>
    <row r="7" spans="2:10">
      <c r="B7" s="11" t="s">
        <v>16</v>
      </c>
      <c r="C7" s="12" t="s">
        <v>13</v>
      </c>
      <c r="D7" s="13">
        <v>18</v>
      </c>
      <c r="E7" s="13" t="s">
        <v>17</v>
      </c>
      <c r="F7" s="13">
        <v>270</v>
      </c>
      <c r="G7" s="13">
        <v>3</v>
      </c>
      <c r="H7" s="13">
        <v>5</v>
      </c>
      <c r="I7" s="13">
        <v>8</v>
      </c>
      <c r="J7" s="33">
        <f t="shared" si="0"/>
        <v>286</v>
      </c>
    </row>
    <row r="8" spans="2:10">
      <c r="B8" s="11" t="s">
        <v>18</v>
      </c>
      <c r="C8" s="12" t="s">
        <v>13</v>
      </c>
      <c r="D8" s="13">
        <v>19</v>
      </c>
      <c r="E8" s="13" t="s">
        <v>19</v>
      </c>
      <c r="F8" s="13">
        <v>300</v>
      </c>
      <c r="G8" s="13">
        <v>4</v>
      </c>
      <c r="H8" s="13">
        <v>1</v>
      </c>
      <c r="I8" s="13">
        <v>9</v>
      </c>
      <c r="J8" s="33">
        <f t="shared" si="0"/>
        <v>314</v>
      </c>
    </row>
    <row r="9" spans="2:10">
      <c r="B9" s="11" t="s">
        <v>140</v>
      </c>
      <c r="C9" s="12" t="s">
        <v>13</v>
      </c>
      <c r="D9" s="13">
        <v>11</v>
      </c>
      <c r="E9" s="13" t="s">
        <v>21</v>
      </c>
      <c r="F9" s="13">
        <v>300</v>
      </c>
      <c r="G9" s="13">
        <v>9</v>
      </c>
      <c r="H9" s="13">
        <v>5</v>
      </c>
      <c r="I9" s="13">
        <v>5</v>
      </c>
      <c r="J9" s="33">
        <f t="shared" si="0"/>
        <v>319</v>
      </c>
    </row>
    <row r="10" spans="2:10">
      <c r="B10" s="11" t="s">
        <v>140</v>
      </c>
      <c r="C10" s="12" t="s">
        <v>13</v>
      </c>
      <c r="D10" s="13">
        <v>12</v>
      </c>
      <c r="E10" s="13" t="s">
        <v>22</v>
      </c>
      <c r="F10" s="13">
        <v>160</v>
      </c>
      <c r="G10" s="13">
        <v>6</v>
      </c>
      <c r="H10" s="13">
        <v>9</v>
      </c>
      <c r="I10" s="13">
        <v>4</v>
      </c>
      <c r="J10" s="33">
        <f t="shared" si="0"/>
        <v>179</v>
      </c>
    </row>
    <row r="11" spans="2:10">
      <c r="B11" s="11" t="s">
        <v>18</v>
      </c>
      <c r="C11" s="12" t="s">
        <v>141</v>
      </c>
      <c r="D11" s="13">
        <v>17</v>
      </c>
      <c r="E11" s="13" t="s">
        <v>23</v>
      </c>
      <c r="F11" s="13">
        <v>320</v>
      </c>
      <c r="G11" s="13">
        <v>8</v>
      </c>
      <c r="H11" s="13">
        <v>4</v>
      </c>
      <c r="I11" s="13">
        <v>13</v>
      </c>
      <c r="J11" s="33">
        <f t="shared" si="0"/>
        <v>345</v>
      </c>
    </row>
    <row r="12" spans="2:10" hidden="1">
      <c r="B12" s="11" t="s">
        <v>24</v>
      </c>
      <c r="C12" s="12" t="s">
        <v>142</v>
      </c>
      <c r="D12" s="13">
        <v>10</v>
      </c>
      <c r="E12" s="13" t="s">
        <v>25</v>
      </c>
      <c r="F12" s="13">
        <v>270</v>
      </c>
      <c r="G12" s="13">
        <v>5</v>
      </c>
      <c r="H12" s="13">
        <v>6</v>
      </c>
      <c r="I12" s="13">
        <v>12</v>
      </c>
      <c r="J12" s="33">
        <f t="shared" si="0"/>
        <v>293</v>
      </c>
    </row>
    <row r="13" spans="2:10" hidden="1">
      <c r="B13" s="11" t="s">
        <v>18</v>
      </c>
      <c r="C13" s="12" t="s">
        <v>142</v>
      </c>
      <c r="D13" s="13">
        <v>14</v>
      </c>
      <c r="E13" s="13" t="s">
        <v>26</v>
      </c>
      <c r="F13" s="13">
        <v>270</v>
      </c>
      <c r="G13" s="13">
        <v>6</v>
      </c>
      <c r="H13" s="13">
        <v>5</v>
      </c>
      <c r="I13" s="13">
        <v>2</v>
      </c>
      <c r="J13" s="33">
        <f t="shared" si="0"/>
        <v>283</v>
      </c>
    </row>
    <row r="14" spans="2:10" hidden="1">
      <c r="B14" s="11" t="s">
        <v>20</v>
      </c>
      <c r="C14" s="12" t="s">
        <v>142</v>
      </c>
      <c r="D14" s="13">
        <v>14</v>
      </c>
      <c r="E14" s="13" t="s">
        <v>27</v>
      </c>
      <c r="F14" s="13">
        <v>320</v>
      </c>
      <c r="G14" s="13">
        <v>7</v>
      </c>
      <c r="H14" s="13">
        <v>2</v>
      </c>
      <c r="I14" s="13">
        <v>3</v>
      </c>
      <c r="J14" s="33">
        <f t="shared" si="0"/>
        <v>332</v>
      </c>
    </row>
    <row r="15" spans="2:10" hidden="1">
      <c r="B15" s="11" t="s">
        <v>18</v>
      </c>
      <c r="C15" s="12" t="s">
        <v>28</v>
      </c>
      <c r="D15" s="13">
        <v>10</v>
      </c>
      <c r="E15" s="13" t="s">
        <v>29</v>
      </c>
      <c r="F15" s="13">
        <v>270</v>
      </c>
      <c r="G15" s="13">
        <v>2</v>
      </c>
      <c r="H15" s="13">
        <v>5</v>
      </c>
      <c r="I15" s="13">
        <v>7</v>
      </c>
      <c r="J15" s="33">
        <f t="shared" si="0"/>
        <v>284</v>
      </c>
    </row>
    <row r="16" spans="2:10" hidden="1">
      <c r="B16" s="11" t="s">
        <v>10</v>
      </c>
      <c r="C16" s="12" t="s">
        <v>28</v>
      </c>
      <c r="D16" s="13">
        <v>12</v>
      </c>
      <c r="E16" s="13" t="s">
        <v>30</v>
      </c>
      <c r="F16" s="13">
        <v>270</v>
      </c>
      <c r="G16" s="13">
        <v>4</v>
      </c>
      <c r="H16" s="13">
        <v>4</v>
      </c>
      <c r="I16" s="13">
        <v>11</v>
      </c>
      <c r="J16" s="33">
        <f t="shared" si="0"/>
        <v>289</v>
      </c>
    </row>
    <row r="17" spans="2:10" hidden="1">
      <c r="B17" s="11" t="s">
        <v>8</v>
      </c>
      <c r="C17" s="12" t="s">
        <v>28</v>
      </c>
      <c r="D17" s="13">
        <v>19</v>
      </c>
      <c r="E17" s="13" t="s">
        <v>31</v>
      </c>
      <c r="F17" s="13">
        <v>300</v>
      </c>
      <c r="G17" s="13">
        <v>7</v>
      </c>
      <c r="H17" s="13">
        <v>3</v>
      </c>
      <c r="I17" s="13">
        <v>19</v>
      </c>
      <c r="J17" s="33">
        <f t="shared" si="0"/>
        <v>329</v>
      </c>
    </row>
    <row r="18" spans="2:10">
      <c r="B18" s="11" t="s">
        <v>20</v>
      </c>
      <c r="C18" s="12" t="s">
        <v>28</v>
      </c>
      <c r="D18" s="13">
        <v>12</v>
      </c>
      <c r="E18" s="13" t="s">
        <v>32</v>
      </c>
      <c r="F18" s="13">
        <v>300</v>
      </c>
      <c r="G18" s="13">
        <v>7</v>
      </c>
      <c r="H18" s="13">
        <v>3</v>
      </c>
      <c r="I18" s="13">
        <v>9</v>
      </c>
      <c r="J18" s="33">
        <f t="shared" si="0"/>
        <v>319</v>
      </c>
    </row>
    <row r="19" spans="2:10">
      <c r="B19" s="13"/>
      <c r="C19" s="14"/>
      <c r="D19" s="5"/>
      <c r="E19" s="5"/>
      <c r="F19" s="5"/>
      <c r="G19" s="5"/>
      <c r="H19" s="11"/>
      <c r="I19" s="12"/>
      <c r="J19" s="13"/>
    </row>
    <row r="20" spans="2:10">
      <c r="B20" s="13"/>
      <c r="C20" s="14"/>
      <c r="D20" s="5"/>
      <c r="E20" s="5"/>
      <c r="F20" s="5"/>
      <c r="G20" s="5"/>
      <c r="H20" s="11"/>
      <c r="I20" s="12"/>
      <c r="J20" s="13"/>
    </row>
    <row r="21" spans="2:10">
      <c r="B21" s="13" t="s">
        <v>143</v>
      </c>
      <c r="C21" s="14" t="s">
        <v>144</v>
      </c>
      <c r="D21" s="5"/>
      <c r="E21" s="5"/>
      <c r="F21" s="5" t="s">
        <v>145</v>
      </c>
      <c r="G21" s="5" t="s">
        <v>146</v>
      </c>
      <c r="H21" s="11"/>
      <c r="I21" s="12"/>
      <c r="J21" s="13"/>
    </row>
    <row r="22" spans="2:10">
      <c r="B22" s="13" t="s">
        <v>147</v>
      </c>
      <c r="C22" s="14" t="str">
        <f>"&gt;="&amp;AVERAGE($F$3:$F$18)</f>
        <v>&gt;=271.875</v>
      </c>
      <c r="D22" s="5"/>
      <c r="E22" s="5"/>
      <c r="F22" s="5" t="b">
        <f>LEFT(C3, 2)="전임"</f>
        <v>1</v>
      </c>
      <c r="G22" s="5" t="b">
        <f>F3&gt;=AVERAGE($F$3:$F$18)</f>
        <v>1</v>
      </c>
      <c r="H22" s="5"/>
      <c r="I22" s="5"/>
      <c r="J22" s="5"/>
    </row>
    <row r="23" spans="2:10">
      <c r="B23" s="13"/>
      <c r="C23" s="14"/>
      <c r="D23" s="5"/>
      <c r="E23" s="5"/>
      <c r="F23" s="5"/>
      <c r="G23" s="5"/>
      <c r="H23" s="5"/>
      <c r="I23" s="5"/>
      <c r="J23" s="5"/>
    </row>
    <row r="24" spans="2:10">
      <c r="B24" s="13"/>
      <c r="C24" s="14"/>
      <c r="D24" s="5"/>
      <c r="E24" s="5"/>
      <c r="F24" s="5"/>
      <c r="G24" s="5"/>
      <c r="H24" s="5"/>
      <c r="I24" s="5"/>
      <c r="J24" s="5"/>
    </row>
    <row r="25" spans="2:10">
      <c r="B25" s="13"/>
      <c r="C25" s="14"/>
      <c r="D25" s="5"/>
      <c r="E25" s="5"/>
      <c r="F25" s="5"/>
      <c r="G25" s="5"/>
      <c r="H25" s="5"/>
      <c r="I25" s="5"/>
      <c r="J25" s="5"/>
    </row>
    <row r="26" spans="2:10">
      <c r="B26" s="10" t="s">
        <v>137</v>
      </c>
      <c r="C26" s="10" t="s">
        <v>1</v>
      </c>
      <c r="D26" s="10" t="s">
        <v>2</v>
      </c>
      <c r="E26" s="10" t="s">
        <v>3</v>
      </c>
      <c r="F26" s="10" t="s">
        <v>4</v>
      </c>
      <c r="G26" s="10" t="s">
        <v>5</v>
      </c>
      <c r="H26" s="10" t="s">
        <v>6</v>
      </c>
      <c r="I26" s="10" t="s">
        <v>7</v>
      </c>
      <c r="J26" s="10" t="s">
        <v>148</v>
      </c>
    </row>
    <row r="27" spans="2:10">
      <c r="B27" s="11" t="s">
        <v>8</v>
      </c>
      <c r="C27" s="12" t="s">
        <v>139</v>
      </c>
      <c r="D27" s="13">
        <v>18</v>
      </c>
      <c r="E27" s="13" t="s">
        <v>9</v>
      </c>
      <c r="F27" s="13">
        <v>300</v>
      </c>
      <c r="G27" s="13">
        <v>1</v>
      </c>
      <c r="H27" s="13">
        <v>6</v>
      </c>
      <c r="I27" s="13">
        <v>17</v>
      </c>
      <c r="J27" s="13">
        <v>324</v>
      </c>
    </row>
    <row r="28" spans="2:10">
      <c r="B28" s="11" t="s">
        <v>18</v>
      </c>
      <c r="C28" s="12" t="s">
        <v>13</v>
      </c>
      <c r="D28" s="13">
        <v>19</v>
      </c>
      <c r="E28" s="13" t="s">
        <v>19</v>
      </c>
      <c r="F28" s="13">
        <v>300</v>
      </c>
      <c r="G28" s="13">
        <v>4</v>
      </c>
      <c r="H28" s="13">
        <v>1</v>
      </c>
      <c r="I28" s="13">
        <v>9</v>
      </c>
      <c r="J28" s="13">
        <v>314</v>
      </c>
    </row>
    <row r="29" spans="2:10">
      <c r="B29" s="11" t="s">
        <v>149</v>
      </c>
      <c r="C29" s="12" t="s">
        <v>13</v>
      </c>
      <c r="D29" s="13">
        <v>11</v>
      </c>
      <c r="E29" s="13" t="s">
        <v>21</v>
      </c>
      <c r="F29" s="13">
        <v>300</v>
      </c>
      <c r="G29" s="13">
        <v>9</v>
      </c>
      <c r="H29" s="13">
        <v>5</v>
      </c>
      <c r="I29" s="13">
        <v>5</v>
      </c>
      <c r="J29" s="13">
        <v>319</v>
      </c>
    </row>
    <row r="30" spans="2:10">
      <c r="B30" s="13"/>
      <c r="C30" s="14"/>
      <c r="D30" s="5"/>
      <c r="E30" s="5"/>
      <c r="F30" s="5"/>
      <c r="G30" s="5"/>
      <c r="H30" s="5"/>
      <c r="I30" s="5"/>
      <c r="J30" s="5"/>
    </row>
    <row r="31" spans="2:10">
      <c r="B31" s="13"/>
      <c r="C31" s="14"/>
      <c r="D31" s="5"/>
      <c r="E31" s="5"/>
      <c r="F31" s="5"/>
      <c r="G31" s="5"/>
      <c r="H31" s="5"/>
      <c r="I31" s="5"/>
      <c r="J31" s="5"/>
    </row>
    <row r="32" spans="2:10">
      <c r="B32" s="13"/>
      <c r="C32" s="14"/>
      <c r="D32" s="5"/>
      <c r="E32" s="5"/>
      <c r="F32" s="5"/>
      <c r="G32" s="5"/>
      <c r="H32" s="5"/>
      <c r="I32" s="5"/>
      <c r="J32" s="5"/>
    </row>
    <row r="33" spans="2:10">
      <c r="B33" s="13"/>
      <c r="C33" s="14"/>
      <c r="D33" s="5"/>
      <c r="E33" s="5"/>
      <c r="F33" s="5"/>
      <c r="G33" s="5"/>
      <c r="H33" s="5"/>
      <c r="I33" s="5"/>
      <c r="J33" s="5"/>
    </row>
    <row r="34" spans="2:10">
      <c r="B34" s="13"/>
      <c r="C34" s="14"/>
      <c r="D34" s="5"/>
      <c r="E34" s="5"/>
      <c r="F34" s="5"/>
      <c r="G34" s="5"/>
      <c r="H34" s="5"/>
      <c r="I34" s="5"/>
      <c r="J34" s="5"/>
    </row>
    <row r="35" spans="2:10">
      <c r="B35" s="13"/>
      <c r="C35" s="14"/>
      <c r="D35" s="5"/>
      <c r="E35" s="5"/>
      <c r="F35" s="5"/>
      <c r="G35" s="5"/>
      <c r="H35" s="5"/>
      <c r="I35" s="5"/>
      <c r="J35" s="5"/>
    </row>
    <row r="36" spans="2:10">
      <c r="B36" s="13"/>
      <c r="C36" s="14"/>
      <c r="D36" s="5"/>
      <c r="E36" s="5"/>
      <c r="F36" s="5"/>
      <c r="G36" s="5"/>
      <c r="H36" s="5"/>
      <c r="I36" s="5"/>
      <c r="J36" s="5"/>
    </row>
    <row r="37" spans="2:10">
      <c r="B37" s="13"/>
      <c r="C37" s="14"/>
      <c r="D37" s="5"/>
      <c r="E37" s="5"/>
      <c r="F37" s="5"/>
      <c r="G37" s="5"/>
      <c r="H37" s="5"/>
      <c r="I37" s="5"/>
      <c r="J37" s="5"/>
    </row>
    <row r="38" spans="2:10">
      <c r="B38" s="13"/>
      <c r="C38" s="14"/>
      <c r="D38" s="5"/>
      <c r="E38" s="5"/>
      <c r="F38" s="5"/>
      <c r="G38" s="5"/>
      <c r="H38" s="5"/>
      <c r="I38" s="5"/>
      <c r="J38" s="5"/>
    </row>
    <row r="39" spans="2:10">
      <c r="B39" s="13"/>
      <c r="C39" s="14"/>
      <c r="D39" s="5"/>
      <c r="E39" s="5"/>
      <c r="F39" s="5"/>
      <c r="G39" s="5"/>
      <c r="H39" s="5"/>
      <c r="I39" s="5"/>
      <c r="J39" s="5"/>
    </row>
    <row r="40" spans="2:10">
      <c r="B40" s="13"/>
      <c r="C40" s="14"/>
      <c r="D40" s="5"/>
      <c r="E40" s="5"/>
      <c r="F40" s="5"/>
      <c r="G40" s="5"/>
      <c r="H40" s="5"/>
      <c r="I40" s="5"/>
      <c r="J40" s="5"/>
    </row>
    <row r="41" spans="2:10">
      <c r="B41" s="13"/>
      <c r="C41" s="14"/>
      <c r="D41" s="5"/>
      <c r="E41" s="5"/>
      <c r="F41" s="5"/>
      <c r="G41" s="5"/>
      <c r="H41" s="5"/>
      <c r="I41" s="5"/>
      <c r="J41" s="5"/>
    </row>
    <row r="42" spans="2:10">
      <c r="B42" s="13"/>
      <c r="C42" s="14"/>
      <c r="D42" s="5"/>
      <c r="E42" s="5"/>
      <c r="F42" s="5"/>
      <c r="G42" s="5"/>
      <c r="H42" s="5"/>
      <c r="I42" s="5"/>
      <c r="J42" s="5"/>
    </row>
    <row r="43" spans="2:10">
      <c r="B43" s="13"/>
      <c r="C43" s="14"/>
      <c r="D43" s="5"/>
      <c r="E43" s="5"/>
      <c r="F43" s="5"/>
      <c r="G43" s="5"/>
      <c r="H43" s="5"/>
      <c r="I43" s="5"/>
      <c r="J43" s="5"/>
    </row>
    <row r="44" spans="2:10">
      <c r="B44" s="13"/>
      <c r="C44" s="14"/>
      <c r="D44" s="5"/>
      <c r="E44" s="5"/>
      <c r="F44" s="5"/>
      <c r="G44" s="5"/>
      <c r="H44" s="5"/>
      <c r="I44" s="5"/>
      <c r="J44" s="5"/>
    </row>
    <row r="45" spans="2:10">
      <c r="B45" s="13"/>
      <c r="C45" s="14"/>
      <c r="D45" s="5"/>
      <c r="E45" s="5"/>
      <c r="F45" s="5"/>
      <c r="G45" s="5"/>
      <c r="H45" s="5"/>
      <c r="I45" s="5"/>
      <c r="J45" s="5"/>
    </row>
    <row r="46" spans="2:10">
      <c r="B46" s="13"/>
      <c r="C46" s="14"/>
      <c r="D46" s="5"/>
      <c r="E46" s="5"/>
      <c r="F46" s="5"/>
      <c r="G46" s="5"/>
      <c r="H46" s="5"/>
      <c r="I46" s="5"/>
      <c r="J46" s="5"/>
    </row>
    <row r="47" spans="2:10">
      <c r="B47" s="13"/>
      <c r="C47" s="14"/>
      <c r="D47" s="5"/>
      <c r="E47" s="5"/>
      <c r="F47" s="5"/>
      <c r="G47" s="5"/>
      <c r="H47" s="5"/>
      <c r="I47" s="5"/>
      <c r="J47" s="5"/>
    </row>
    <row r="48" spans="2:10">
      <c r="B48" s="13"/>
      <c r="C48" s="14"/>
      <c r="D48" s="5"/>
      <c r="E48" s="5"/>
      <c r="F48" s="5"/>
      <c r="G48" s="5"/>
      <c r="H48" s="5"/>
      <c r="I48" s="5"/>
      <c r="J48" s="5"/>
    </row>
    <row r="49" spans="2:10">
      <c r="B49" s="13"/>
      <c r="C49" s="14"/>
      <c r="D49" s="5"/>
      <c r="E49" s="5"/>
      <c r="F49" s="5"/>
      <c r="G49" s="5"/>
      <c r="H49" s="5"/>
      <c r="I49" s="5"/>
      <c r="J49" s="5"/>
    </row>
    <row r="50" spans="2:10">
      <c r="B50" s="13"/>
      <c r="C50" s="14"/>
      <c r="D50" s="5"/>
      <c r="E50" s="5"/>
      <c r="F50" s="5"/>
      <c r="G50" s="5"/>
      <c r="H50" s="5"/>
      <c r="I50" s="5"/>
      <c r="J50" s="5"/>
    </row>
    <row r="51" spans="2:10">
      <c r="B51" s="13"/>
      <c r="C51" s="8"/>
      <c r="D51" s="9"/>
      <c r="E51" s="9"/>
      <c r="F51" s="9"/>
      <c r="G51" s="9"/>
      <c r="H51" s="9"/>
      <c r="I51" s="9"/>
      <c r="J51" s="9"/>
    </row>
    <row r="52" spans="2:10">
      <c r="B52" s="13"/>
      <c r="C52" s="8"/>
      <c r="D52" s="9"/>
      <c r="E52" s="9"/>
      <c r="F52" s="9"/>
      <c r="G52" s="9"/>
      <c r="H52" s="9"/>
      <c r="I52" s="9"/>
      <c r="J52" s="9"/>
    </row>
    <row r="53" spans="2:10">
      <c r="B53" s="13"/>
      <c r="C53" s="8"/>
      <c r="D53" s="9"/>
      <c r="E53" s="9"/>
      <c r="F53" s="9"/>
      <c r="G53" s="9"/>
      <c r="H53" s="9"/>
      <c r="I53" s="9"/>
      <c r="J53" s="9"/>
    </row>
    <row r="54" spans="2:10">
      <c r="B54" s="13"/>
      <c r="C54" s="8"/>
      <c r="D54" s="9"/>
      <c r="E54" s="9"/>
      <c r="F54" s="9"/>
      <c r="G54" s="9"/>
      <c r="H54" s="9"/>
      <c r="I54" s="9"/>
      <c r="J54" s="9"/>
    </row>
    <row r="55" spans="2:10">
      <c r="B55" s="9"/>
      <c r="C55" s="8"/>
      <c r="D55" s="9"/>
      <c r="E55" s="9"/>
      <c r="F55" s="9"/>
      <c r="G55" s="9"/>
      <c r="H55" s="9"/>
      <c r="I55" s="9"/>
      <c r="J55" s="9"/>
    </row>
    <row r="56" spans="2:10">
      <c r="B56" s="9"/>
      <c r="C56" s="8"/>
      <c r="D56" s="9"/>
      <c r="E56" s="9"/>
      <c r="F56" s="9"/>
      <c r="G56" s="9"/>
      <c r="H56" s="9"/>
      <c r="I56" s="9"/>
      <c r="J56" s="9"/>
    </row>
    <row r="57" spans="2:10">
      <c r="B57" s="9"/>
      <c r="C57" s="8"/>
      <c r="D57" s="9"/>
      <c r="E57" s="9"/>
      <c r="F57" s="9"/>
      <c r="G57" s="9"/>
      <c r="H57" s="9"/>
      <c r="I57" s="9"/>
      <c r="J57" s="9"/>
    </row>
    <row r="58" spans="2:10">
      <c r="B58" s="9"/>
      <c r="C58" s="8"/>
      <c r="D58" s="9"/>
      <c r="E58" s="9"/>
      <c r="F58" s="9"/>
      <c r="G58" s="9"/>
      <c r="H58" s="9"/>
      <c r="I58" s="9"/>
      <c r="J58" s="9"/>
    </row>
    <row r="59" spans="2:10">
      <c r="B59" s="9"/>
      <c r="C59" s="8"/>
      <c r="D59" s="9"/>
      <c r="E59" s="9"/>
      <c r="F59" s="9"/>
      <c r="G59" s="9"/>
      <c r="H59" s="9"/>
      <c r="I59" s="9"/>
      <c r="J59" s="9"/>
    </row>
    <row r="60" spans="2:10">
      <c r="B60" s="9"/>
      <c r="C60" s="8"/>
      <c r="D60" s="9"/>
      <c r="E60" s="9"/>
      <c r="F60" s="9"/>
      <c r="G60" s="9"/>
      <c r="H60" s="9"/>
      <c r="I60" s="9"/>
      <c r="J60" s="9"/>
    </row>
    <row r="61" spans="2:10">
      <c r="B61" s="9"/>
      <c r="C61" s="8"/>
      <c r="D61" s="9"/>
      <c r="E61" s="9"/>
      <c r="F61" s="9"/>
      <c r="G61" s="9"/>
      <c r="H61" s="9"/>
      <c r="I61" s="9"/>
      <c r="J61" s="9"/>
    </row>
    <row r="62" spans="2:10">
      <c r="B62" s="9"/>
      <c r="C62" s="8"/>
      <c r="D62" s="9"/>
      <c r="E62" s="9"/>
      <c r="F62" s="9"/>
      <c r="G62" s="9"/>
      <c r="H62" s="9"/>
      <c r="I62" s="9"/>
      <c r="J62" s="9"/>
    </row>
    <row r="63" spans="2:10">
      <c r="B63" s="9"/>
      <c r="C63" s="8"/>
      <c r="D63" s="9"/>
      <c r="E63" s="9"/>
      <c r="F63" s="9"/>
      <c r="G63" s="9"/>
      <c r="H63" s="9"/>
      <c r="I63" s="9"/>
      <c r="J63" s="9"/>
    </row>
    <row r="64" spans="2:10">
      <c r="B64" s="9"/>
      <c r="C64" s="8"/>
      <c r="D64" s="9"/>
      <c r="E64" s="9"/>
      <c r="F64" s="9"/>
      <c r="G64" s="9"/>
      <c r="H64" s="9"/>
      <c r="I64" s="9"/>
      <c r="J64" s="9"/>
    </row>
  </sheetData>
  <sheetProtection algorithmName="SHA-512" hashValue="B4D4Hf60H9pA/uQxYLRlGPYjqza8RwWqyBgRaDfUvKwg6X3Ku2SJkVgdsNzA0vBArQ6708reUjfG6c6s6x439A==" saltValue="qy4TX697O+4CZz9xVkWcsw==" spinCount="100000" sheet="1" objects="1" scenarios="1"/>
  <phoneticPr fontId="1" type="noConversion"/>
  <conditionalFormatting sqref="B3:J18">
    <cfRule type="expression" dxfId="1" priority="1">
      <formula>OR(LEFT($B3,2)="경영",RIGHT($C3,2)="강사")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44"/>
  <sheetViews>
    <sheetView workbookViewId="0">
      <selection activeCell="A12" sqref="A12"/>
    </sheetView>
  </sheetViews>
  <sheetFormatPr defaultRowHeight="16.5"/>
  <cols>
    <col min="1" max="1" width="2" style="15" customWidth="1"/>
    <col min="2" max="2" width="10.125" style="15" customWidth="1"/>
    <col min="3" max="3" width="8.375" style="15" customWidth="1"/>
    <col min="4" max="4" width="11" style="15" customWidth="1"/>
    <col min="5" max="5" width="9.5" style="15" customWidth="1"/>
    <col min="6" max="6" width="11.375" style="15" customWidth="1"/>
    <col min="7" max="8" width="15.125" style="15" customWidth="1"/>
    <col min="9" max="10" width="9.625" style="15" customWidth="1"/>
    <col min="11" max="11" width="10.125" style="15" customWidth="1"/>
    <col min="12" max="12" width="9.125" style="15" customWidth="1"/>
    <col min="13" max="13" width="12.625" style="15" customWidth="1"/>
    <col min="14" max="256" width="9" style="15"/>
    <col min="257" max="257" width="2" style="15" customWidth="1"/>
    <col min="258" max="258" width="8" style="15" bestFit="1" customWidth="1"/>
    <col min="259" max="259" width="8.375" style="15" customWidth="1"/>
    <col min="260" max="260" width="11" style="15" customWidth="1"/>
    <col min="261" max="261" width="8" style="15" customWidth="1"/>
    <col min="262" max="262" width="11.375" style="15" customWidth="1"/>
    <col min="263" max="263" width="9.75" style="15" customWidth="1"/>
    <col min="264" max="264" width="9.375" style="15" customWidth="1"/>
    <col min="265" max="269" width="8" style="15" bestFit="1" customWidth="1"/>
    <col min="270" max="512" width="9" style="15"/>
    <col min="513" max="513" width="2" style="15" customWidth="1"/>
    <col min="514" max="514" width="8" style="15" bestFit="1" customWidth="1"/>
    <col min="515" max="515" width="8.375" style="15" customWidth="1"/>
    <col min="516" max="516" width="11" style="15" customWidth="1"/>
    <col min="517" max="517" width="8" style="15" customWidth="1"/>
    <col min="518" max="518" width="11.375" style="15" customWidth="1"/>
    <col min="519" max="519" width="9.75" style="15" customWidth="1"/>
    <col min="520" max="520" width="9.375" style="15" customWidth="1"/>
    <col min="521" max="525" width="8" style="15" bestFit="1" customWidth="1"/>
    <col min="526" max="768" width="9" style="15"/>
    <col min="769" max="769" width="2" style="15" customWidth="1"/>
    <col min="770" max="770" width="8" style="15" bestFit="1" customWidth="1"/>
    <col min="771" max="771" width="8.375" style="15" customWidth="1"/>
    <col min="772" max="772" width="11" style="15" customWidth="1"/>
    <col min="773" max="773" width="8" style="15" customWidth="1"/>
    <col min="774" max="774" width="11.375" style="15" customWidth="1"/>
    <col min="775" max="775" width="9.75" style="15" customWidth="1"/>
    <col min="776" max="776" width="9.375" style="15" customWidth="1"/>
    <col min="777" max="781" width="8" style="15" bestFit="1" customWidth="1"/>
    <col min="782" max="1024" width="9" style="15"/>
    <col min="1025" max="1025" width="2" style="15" customWidth="1"/>
    <col min="1026" max="1026" width="8" style="15" bestFit="1" customWidth="1"/>
    <col min="1027" max="1027" width="8.375" style="15" customWidth="1"/>
    <col min="1028" max="1028" width="11" style="15" customWidth="1"/>
    <col min="1029" max="1029" width="8" style="15" customWidth="1"/>
    <col min="1030" max="1030" width="11.375" style="15" customWidth="1"/>
    <col min="1031" max="1031" width="9.75" style="15" customWidth="1"/>
    <col min="1032" max="1032" width="9.375" style="15" customWidth="1"/>
    <col min="1033" max="1037" width="8" style="15" bestFit="1" customWidth="1"/>
    <col min="1038" max="1280" width="9" style="15"/>
    <col min="1281" max="1281" width="2" style="15" customWidth="1"/>
    <col min="1282" max="1282" width="8" style="15" bestFit="1" customWidth="1"/>
    <col min="1283" max="1283" width="8.375" style="15" customWidth="1"/>
    <col min="1284" max="1284" width="11" style="15" customWidth="1"/>
    <col min="1285" max="1285" width="8" style="15" customWidth="1"/>
    <col min="1286" max="1286" width="11.375" style="15" customWidth="1"/>
    <col min="1287" max="1287" width="9.75" style="15" customWidth="1"/>
    <col min="1288" max="1288" width="9.375" style="15" customWidth="1"/>
    <col min="1289" max="1293" width="8" style="15" bestFit="1" customWidth="1"/>
    <col min="1294" max="1536" width="9" style="15"/>
    <col min="1537" max="1537" width="2" style="15" customWidth="1"/>
    <col min="1538" max="1538" width="8" style="15" bestFit="1" customWidth="1"/>
    <col min="1539" max="1539" width="8.375" style="15" customWidth="1"/>
    <col min="1540" max="1540" width="11" style="15" customWidth="1"/>
    <col min="1541" max="1541" width="8" style="15" customWidth="1"/>
    <col min="1542" max="1542" width="11.375" style="15" customWidth="1"/>
    <col min="1543" max="1543" width="9.75" style="15" customWidth="1"/>
    <col min="1544" max="1544" width="9.375" style="15" customWidth="1"/>
    <col min="1545" max="1549" width="8" style="15" bestFit="1" customWidth="1"/>
    <col min="1550" max="1792" width="9" style="15"/>
    <col min="1793" max="1793" width="2" style="15" customWidth="1"/>
    <col min="1794" max="1794" width="8" style="15" bestFit="1" customWidth="1"/>
    <col min="1795" max="1795" width="8.375" style="15" customWidth="1"/>
    <col min="1796" max="1796" width="11" style="15" customWidth="1"/>
    <col min="1797" max="1797" width="8" style="15" customWidth="1"/>
    <col min="1798" max="1798" width="11.375" style="15" customWidth="1"/>
    <col min="1799" max="1799" width="9.75" style="15" customWidth="1"/>
    <col min="1800" max="1800" width="9.375" style="15" customWidth="1"/>
    <col min="1801" max="1805" width="8" style="15" bestFit="1" customWidth="1"/>
    <col min="1806" max="2048" width="9" style="15"/>
    <col min="2049" max="2049" width="2" style="15" customWidth="1"/>
    <col min="2050" max="2050" width="8" style="15" bestFit="1" customWidth="1"/>
    <col min="2051" max="2051" width="8.375" style="15" customWidth="1"/>
    <col min="2052" max="2052" width="11" style="15" customWidth="1"/>
    <col min="2053" max="2053" width="8" style="15" customWidth="1"/>
    <col min="2054" max="2054" width="11.375" style="15" customWidth="1"/>
    <col min="2055" max="2055" width="9.75" style="15" customWidth="1"/>
    <col min="2056" max="2056" width="9.375" style="15" customWidth="1"/>
    <col min="2057" max="2061" width="8" style="15" bestFit="1" customWidth="1"/>
    <col min="2062" max="2304" width="9" style="15"/>
    <col min="2305" max="2305" width="2" style="15" customWidth="1"/>
    <col min="2306" max="2306" width="8" style="15" bestFit="1" customWidth="1"/>
    <col min="2307" max="2307" width="8.375" style="15" customWidth="1"/>
    <col min="2308" max="2308" width="11" style="15" customWidth="1"/>
    <col min="2309" max="2309" width="8" style="15" customWidth="1"/>
    <col min="2310" max="2310" width="11.375" style="15" customWidth="1"/>
    <col min="2311" max="2311" width="9.75" style="15" customWidth="1"/>
    <col min="2312" max="2312" width="9.375" style="15" customWidth="1"/>
    <col min="2313" max="2317" width="8" style="15" bestFit="1" customWidth="1"/>
    <col min="2318" max="2560" width="9" style="15"/>
    <col min="2561" max="2561" width="2" style="15" customWidth="1"/>
    <col min="2562" max="2562" width="8" style="15" bestFit="1" customWidth="1"/>
    <col min="2563" max="2563" width="8.375" style="15" customWidth="1"/>
    <col min="2564" max="2564" width="11" style="15" customWidth="1"/>
    <col min="2565" max="2565" width="8" style="15" customWidth="1"/>
    <col min="2566" max="2566" width="11.375" style="15" customWidth="1"/>
    <col min="2567" max="2567" width="9.75" style="15" customWidth="1"/>
    <col min="2568" max="2568" width="9.375" style="15" customWidth="1"/>
    <col min="2569" max="2573" width="8" style="15" bestFit="1" customWidth="1"/>
    <col min="2574" max="2816" width="9" style="15"/>
    <col min="2817" max="2817" width="2" style="15" customWidth="1"/>
    <col min="2818" max="2818" width="8" style="15" bestFit="1" customWidth="1"/>
    <col min="2819" max="2819" width="8.375" style="15" customWidth="1"/>
    <col min="2820" max="2820" width="11" style="15" customWidth="1"/>
    <col min="2821" max="2821" width="8" style="15" customWidth="1"/>
    <col min="2822" max="2822" width="11.375" style="15" customWidth="1"/>
    <col min="2823" max="2823" width="9.75" style="15" customWidth="1"/>
    <col min="2824" max="2824" width="9.375" style="15" customWidth="1"/>
    <col min="2825" max="2829" width="8" style="15" bestFit="1" customWidth="1"/>
    <col min="2830" max="3072" width="9" style="15"/>
    <col min="3073" max="3073" width="2" style="15" customWidth="1"/>
    <col min="3074" max="3074" width="8" style="15" bestFit="1" customWidth="1"/>
    <col min="3075" max="3075" width="8.375" style="15" customWidth="1"/>
    <col min="3076" max="3076" width="11" style="15" customWidth="1"/>
    <col min="3077" max="3077" width="8" style="15" customWidth="1"/>
    <col min="3078" max="3078" width="11.375" style="15" customWidth="1"/>
    <col min="3079" max="3079" width="9.75" style="15" customWidth="1"/>
    <col min="3080" max="3080" width="9.375" style="15" customWidth="1"/>
    <col min="3081" max="3085" width="8" style="15" bestFit="1" customWidth="1"/>
    <col min="3086" max="3328" width="9" style="15"/>
    <col min="3329" max="3329" width="2" style="15" customWidth="1"/>
    <col min="3330" max="3330" width="8" style="15" bestFit="1" customWidth="1"/>
    <col min="3331" max="3331" width="8.375" style="15" customWidth="1"/>
    <col min="3332" max="3332" width="11" style="15" customWidth="1"/>
    <col min="3333" max="3333" width="8" style="15" customWidth="1"/>
    <col min="3334" max="3334" width="11.375" style="15" customWidth="1"/>
    <col min="3335" max="3335" width="9.75" style="15" customWidth="1"/>
    <col min="3336" max="3336" width="9.375" style="15" customWidth="1"/>
    <col min="3337" max="3341" width="8" style="15" bestFit="1" customWidth="1"/>
    <col min="3342" max="3584" width="9" style="15"/>
    <col min="3585" max="3585" width="2" style="15" customWidth="1"/>
    <col min="3586" max="3586" width="8" style="15" bestFit="1" customWidth="1"/>
    <col min="3587" max="3587" width="8.375" style="15" customWidth="1"/>
    <col min="3588" max="3588" width="11" style="15" customWidth="1"/>
    <col min="3589" max="3589" width="8" style="15" customWidth="1"/>
    <col min="3590" max="3590" width="11.375" style="15" customWidth="1"/>
    <col min="3591" max="3591" width="9.75" style="15" customWidth="1"/>
    <col min="3592" max="3592" width="9.375" style="15" customWidth="1"/>
    <col min="3593" max="3597" width="8" style="15" bestFit="1" customWidth="1"/>
    <col min="3598" max="3840" width="9" style="15"/>
    <col min="3841" max="3841" width="2" style="15" customWidth="1"/>
    <col min="3842" max="3842" width="8" style="15" bestFit="1" customWidth="1"/>
    <col min="3843" max="3843" width="8.375" style="15" customWidth="1"/>
    <col min="3844" max="3844" width="11" style="15" customWidth="1"/>
    <col min="3845" max="3845" width="8" style="15" customWidth="1"/>
    <col min="3846" max="3846" width="11.375" style="15" customWidth="1"/>
    <col min="3847" max="3847" width="9.75" style="15" customWidth="1"/>
    <col min="3848" max="3848" width="9.375" style="15" customWidth="1"/>
    <col min="3849" max="3853" width="8" style="15" bestFit="1" customWidth="1"/>
    <col min="3854" max="4096" width="9" style="15"/>
    <col min="4097" max="4097" width="2" style="15" customWidth="1"/>
    <col min="4098" max="4098" width="8" style="15" bestFit="1" customWidth="1"/>
    <col min="4099" max="4099" width="8.375" style="15" customWidth="1"/>
    <col min="4100" max="4100" width="11" style="15" customWidth="1"/>
    <col min="4101" max="4101" width="8" style="15" customWidth="1"/>
    <col min="4102" max="4102" width="11.375" style="15" customWidth="1"/>
    <col min="4103" max="4103" width="9.75" style="15" customWidth="1"/>
    <col min="4104" max="4104" width="9.375" style="15" customWidth="1"/>
    <col min="4105" max="4109" width="8" style="15" bestFit="1" customWidth="1"/>
    <col min="4110" max="4352" width="9" style="15"/>
    <col min="4353" max="4353" width="2" style="15" customWidth="1"/>
    <col min="4354" max="4354" width="8" style="15" bestFit="1" customWidth="1"/>
    <col min="4355" max="4355" width="8.375" style="15" customWidth="1"/>
    <col min="4356" max="4356" width="11" style="15" customWidth="1"/>
    <col min="4357" max="4357" width="8" style="15" customWidth="1"/>
    <col min="4358" max="4358" width="11.375" style="15" customWidth="1"/>
    <col min="4359" max="4359" width="9.75" style="15" customWidth="1"/>
    <col min="4360" max="4360" width="9.375" style="15" customWidth="1"/>
    <col min="4361" max="4365" width="8" style="15" bestFit="1" customWidth="1"/>
    <col min="4366" max="4608" width="9" style="15"/>
    <col min="4609" max="4609" width="2" style="15" customWidth="1"/>
    <col min="4610" max="4610" width="8" style="15" bestFit="1" customWidth="1"/>
    <col min="4611" max="4611" width="8.375" style="15" customWidth="1"/>
    <col min="4612" max="4612" width="11" style="15" customWidth="1"/>
    <col min="4613" max="4613" width="8" style="15" customWidth="1"/>
    <col min="4614" max="4614" width="11.375" style="15" customWidth="1"/>
    <col min="4615" max="4615" width="9.75" style="15" customWidth="1"/>
    <col min="4616" max="4616" width="9.375" style="15" customWidth="1"/>
    <col min="4617" max="4621" width="8" style="15" bestFit="1" customWidth="1"/>
    <col min="4622" max="4864" width="9" style="15"/>
    <col min="4865" max="4865" width="2" style="15" customWidth="1"/>
    <col min="4866" max="4866" width="8" style="15" bestFit="1" customWidth="1"/>
    <col min="4867" max="4867" width="8.375" style="15" customWidth="1"/>
    <col min="4868" max="4868" width="11" style="15" customWidth="1"/>
    <col min="4869" max="4869" width="8" style="15" customWidth="1"/>
    <col min="4870" max="4870" width="11.375" style="15" customWidth="1"/>
    <col min="4871" max="4871" width="9.75" style="15" customWidth="1"/>
    <col min="4872" max="4872" width="9.375" style="15" customWidth="1"/>
    <col min="4873" max="4877" width="8" style="15" bestFit="1" customWidth="1"/>
    <col min="4878" max="5120" width="9" style="15"/>
    <col min="5121" max="5121" width="2" style="15" customWidth="1"/>
    <col min="5122" max="5122" width="8" style="15" bestFit="1" customWidth="1"/>
    <col min="5123" max="5123" width="8.375" style="15" customWidth="1"/>
    <col min="5124" max="5124" width="11" style="15" customWidth="1"/>
    <col min="5125" max="5125" width="8" style="15" customWidth="1"/>
    <col min="5126" max="5126" width="11.375" style="15" customWidth="1"/>
    <col min="5127" max="5127" width="9.75" style="15" customWidth="1"/>
    <col min="5128" max="5128" width="9.375" style="15" customWidth="1"/>
    <col min="5129" max="5133" width="8" style="15" bestFit="1" customWidth="1"/>
    <col min="5134" max="5376" width="9" style="15"/>
    <col min="5377" max="5377" width="2" style="15" customWidth="1"/>
    <col min="5378" max="5378" width="8" style="15" bestFit="1" customWidth="1"/>
    <col min="5379" max="5379" width="8.375" style="15" customWidth="1"/>
    <col min="5380" max="5380" width="11" style="15" customWidth="1"/>
    <col min="5381" max="5381" width="8" style="15" customWidth="1"/>
    <col min="5382" max="5382" width="11.375" style="15" customWidth="1"/>
    <col min="5383" max="5383" width="9.75" style="15" customWidth="1"/>
    <col min="5384" max="5384" width="9.375" style="15" customWidth="1"/>
    <col min="5385" max="5389" width="8" style="15" bestFit="1" customWidth="1"/>
    <col min="5390" max="5632" width="9" style="15"/>
    <col min="5633" max="5633" width="2" style="15" customWidth="1"/>
    <col min="5634" max="5634" width="8" style="15" bestFit="1" customWidth="1"/>
    <col min="5635" max="5635" width="8.375" style="15" customWidth="1"/>
    <col min="5636" max="5636" width="11" style="15" customWidth="1"/>
    <col min="5637" max="5637" width="8" style="15" customWidth="1"/>
    <col min="5638" max="5638" width="11.375" style="15" customWidth="1"/>
    <col min="5639" max="5639" width="9.75" style="15" customWidth="1"/>
    <col min="5640" max="5640" width="9.375" style="15" customWidth="1"/>
    <col min="5641" max="5645" width="8" style="15" bestFit="1" customWidth="1"/>
    <col min="5646" max="5888" width="9" style="15"/>
    <col min="5889" max="5889" width="2" style="15" customWidth="1"/>
    <col min="5890" max="5890" width="8" style="15" bestFit="1" customWidth="1"/>
    <col min="5891" max="5891" width="8.375" style="15" customWidth="1"/>
    <col min="5892" max="5892" width="11" style="15" customWidth="1"/>
    <col min="5893" max="5893" width="8" style="15" customWidth="1"/>
    <col min="5894" max="5894" width="11.375" style="15" customWidth="1"/>
    <col min="5895" max="5895" width="9.75" style="15" customWidth="1"/>
    <col min="5896" max="5896" width="9.375" style="15" customWidth="1"/>
    <col min="5897" max="5901" width="8" style="15" bestFit="1" customWidth="1"/>
    <col min="5902" max="6144" width="9" style="15"/>
    <col min="6145" max="6145" width="2" style="15" customWidth="1"/>
    <col min="6146" max="6146" width="8" style="15" bestFit="1" customWidth="1"/>
    <col min="6147" max="6147" width="8.375" style="15" customWidth="1"/>
    <col min="6148" max="6148" width="11" style="15" customWidth="1"/>
    <col min="6149" max="6149" width="8" style="15" customWidth="1"/>
    <col min="6150" max="6150" width="11.375" style="15" customWidth="1"/>
    <col min="6151" max="6151" width="9.75" style="15" customWidth="1"/>
    <col min="6152" max="6152" width="9.375" style="15" customWidth="1"/>
    <col min="6153" max="6157" width="8" style="15" bestFit="1" customWidth="1"/>
    <col min="6158" max="6400" width="9" style="15"/>
    <col min="6401" max="6401" width="2" style="15" customWidth="1"/>
    <col min="6402" max="6402" width="8" style="15" bestFit="1" customWidth="1"/>
    <col min="6403" max="6403" width="8.375" style="15" customWidth="1"/>
    <col min="6404" max="6404" width="11" style="15" customWidth="1"/>
    <col min="6405" max="6405" width="8" style="15" customWidth="1"/>
    <col min="6406" max="6406" width="11.375" style="15" customWidth="1"/>
    <col min="6407" max="6407" width="9.75" style="15" customWidth="1"/>
    <col min="6408" max="6408" width="9.375" style="15" customWidth="1"/>
    <col min="6409" max="6413" width="8" style="15" bestFit="1" customWidth="1"/>
    <col min="6414" max="6656" width="9" style="15"/>
    <col min="6657" max="6657" width="2" style="15" customWidth="1"/>
    <col min="6658" max="6658" width="8" style="15" bestFit="1" customWidth="1"/>
    <col min="6659" max="6659" width="8.375" style="15" customWidth="1"/>
    <col min="6660" max="6660" width="11" style="15" customWidth="1"/>
    <col min="6661" max="6661" width="8" style="15" customWidth="1"/>
    <col min="6662" max="6662" width="11.375" style="15" customWidth="1"/>
    <col min="6663" max="6663" width="9.75" style="15" customWidth="1"/>
    <col min="6664" max="6664" width="9.375" style="15" customWidth="1"/>
    <col min="6665" max="6669" width="8" style="15" bestFit="1" customWidth="1"/>
    <col min="6670" max="6912" width="9" style="15"/>
    <col min="6913" max="6913" width="2" style="15" customWidth="1"/>
    <col min="6914" max="6914" width="8" style="15" bestFit="1" customWidth="1"/>
    <col min="6915" max="6915" width="8.375" style="15" customWidth="1"/>
    <col min="6916" max="6916" width="11" style="15" customWidth="1"/>
    <col min="6917" max="6917" width="8" style="15" customWidth="1"/>
    <col min="6918" max="6918" width="11.375" style="15" customWidth="1"/>
    <col min="6919" max="6919" width="9.75" style="15" customWidth="1"/>
    <col min="6920" max="6920" width="9.375" style="15" customWidth="1"/>
    <col min="6921" max="6925" width="8" style="15" bestFit="1" customWidth="1"/>
    <col min="6926" max="7168" width="9" style="15"/>
    <col min="7169" max="7169" width="2" style="15" customWidth="1"/>
    <col min="7170" max="7170" width="8" style="15" bestFit="1" customWidth="1"/>
    <col min="7171" max="7171" width="8.375" style="15" customWidth="1"/>
    <col min="7172" max="7172" width="11" style="15" customWidth="1"/>
    <col min="7173" max="7173" width="8" style="15" customWidth="1"/>
    <col min="7174" max="7174" width="11.375" style="15" customWidth="1"/>
    <col min="7175" max="7175" width="9.75" style="15" customWidth="1"/>
    <col min="7176" max="7176" width="9.375" style="15" customWidth="1"/>
    <col min="7177" max="7181" width="8" style="15" bestFit="1" customWidth="1"/>
    <col min="7182" max="7424" width="9" style="15"/>
    <col min="7425" max="7425" width="2" style="15" customWidth="1"/>
    <col min="7426" max="7426" width="8" style="15" bestFit="1" customWidth="1"/>
    <col min="7427" max="7427" width="8.375" style="15" customWidth="1"/>
    <col min="7428" max="7428" width="11" style="15" customWidth="1"/>
    <col min="7429" max="7429" width="8" style="15" customWidth="1"/>
    <col min="7430" max="7430" width="11.375" style="15" customWidth="1"/>
    <col min="7431" max="7431" width="9.75" style="15" customWidth="1"/>
    <col min="7432" max="7432" width="9.375" style="15" customWidth="1"/>
    <col min="7433" max="7437" width="8" style="15" bestFit="1" customWidth="1"/>
    <col min="7438" max="7680" width="9" style="15"/>
    <col min="7681" max="7681" width="2" style="15" customWidth="1"/>
    <col min="7682" max="7682" width="8" style="15" bestFit="1" customWidth="1"/>
    <col min="7683" max="7683" width="8.375" style="15" customWidth="1"/>
    <col min="7684" max="7684" width="11" style="15" customWidth="1"/>
    <col min="7685" max="7685" width="8" style="15" customWidth="1"/>
    <col min="7686" max="7686" width="11.375" style="15" customWidth="1"/>
    <col min="7687" max="7687" width="9.75" style="15" customWidth="1"/>
    <col min="7688" max="7688" width="9.375" style="15" customWidth="1"/>
    <col min="7689" max="7693" width="8" style="15" bestFit="1" customWidth="1"/>
    <col min="7694" max="7936" width="9" style="15"/>
    <col min="7937" max="7937" width="2" style="15" customWidth="1"/>
    <col min="7938" max="7938" width="8" style="15" bestFit="1" customWidth="1"/>
    <col min="7939" max="7939" width="8.375" style="15" customWidth="1"/>
    <col min="7940" max="7940" width="11" style="15" customWidth="1"/>
    <col min="7941" max="7941" width="8" style="15" customWidth="1"/>
    <col min="7942" max="7942" width="11.375" style="15" customWidth="1"/>
    <col min="7943" max="7943" width="9.75" style="15" customWidth="1"/>
    <col min="7944" max="7944" width="9.375" style="15" customWidth="1"/>
    <col min="7945" max="7949" width="8" style="15" bestFit="1" customWidth="1"/>
    <col min="7950" max="8192" width="9" style="15"/>
    <col min="8193" max="8193" width="2" style="15" customWidth="1"/>
    <col min="8194" max="8194" width="8" style="15" bestFit="1" customWidth="1"/>
    <col min="8195" max="8195" width="8.375" style="15" customWidth="1"/>
    <col min="8196" max="8196" width="11" style="15" customWidth="1"/>
    <col min="8197" max="8197" width="8" style="15" customWidth="1"/>
    <col min="8198" max="8198" width="11.375" style="15" customWidth="1"/>
    <col min="8199" max="8199" width="9.75" style="15" customWidth="1"/>
    <col min="8200" max="8200" width="9.375" style="15" customWidth="1"/>
    <col min="8201" max="8205" width="8" style="15" bestFit="1" customWidth="1"/>
    <col min="8206" max="8448" width="9" style="15"/>
    <col min="8449" max="8449" width="2" style="15" customWidth="1"/>
    <col min="8450" max="8450" width="8" style="15" bestFit="1" customWidth="1"/>
    <col min="8451" max="8451" width="8.375" style="15" customWidth="1"/>
    <col min="8452" max="8452" width="11" style="15" customWidth="1"/>
    <col min="8453" max="8453" width="8" style="15" customWidth="1"/>
    <col min="8454" max="8454" width="11.375" style="15" customWidth="1"/>
    <col min="8455" max="8455" width="9.75" style="15" customWidth="1"/>
    <col min="8456" max="8456" width="9.375" style="15" customWidth="1"/>
    <col min="8457" max="8461" width="8" style="15" bestFit="1" customWidth="1"/>
    <col min="8462" max="8704" width="9" style="15"/>
    <col min="8705" max="8705" width="2" style="15" customWidth="1"/>
    <col min="8706" max="8706" width="8" style="15" bestFit="1" customWidth="1"/>
    <col min="8707" max="8707" width="8.375" style="15" customWidth="1"/>
    <col min="8708" max="8708" width="11" style="15" customWidth="1"/>
    <col min="8709" max="8709" width="8" style="15" customWidth="1"/>
    <col min="8710" max="8710" width="11.375" style="15" customWidth="1"/>
    <col min="8711" max="8711" width="9.75" style="15" customWidth="1"/>
    <col min="8712" max="8712" width="9.375" style="15" customWidth="1"/>
    <col min="8713" max="8717" width="8" style="15" bestFit="1" customWidth="1"/>
    <col min="8718" max="8960" width="9" style="15"/>
    <col min="8961" max="8961" width="2" style="15" customWidth="1"/>
    <col min="8962" max="8962" width="8" style="15" bestFit="1" customWidth="1"/>
    <col min="8963" max="8963" width="8.375" style="15" customWidth="1"/>
    <col min="8964" max="8964" width="11" style="15" customWidth="1"/>
    <col min="8965" max="8965" width="8" style="15" customWidth="1"/>
    <col min="8966" max="8966" width="11.375" style="15" customWidth="1"/>
    <col min="8967" max="8967" width="9.75" style="15" customWidth="1"/>
    <col min="8968" max="8968" width="9.375" style="15" customWidth="1"/>
    <col min="8969" max="8973" width="8" style="15" bestFit="1" customWidth="1"/>
    <col min="8974" max="9216" width="9" style="15"/>
    <col min="9217" max="9217" width="2" style="15" customWidth="1"/>
    <col min="9218" max="9218" width="8" style="15" bestFit="1" customWidth="1"/>
    <col min="9219" max="9219" width="8.375" style="15" customWidth="1"/>
    <col min="9220" max="9220" width="11" style="15" customWidth="1"/>
    <col min="9221" max="9221" width="8" style="15" customWidth="1"/>
    <col min="9222" max="9222" width="11.375" style="15" customWidth="1"/>
    <col min="9223" max="9223" width="9.75" style="15" customWidth="1"/>
    <col min="9224" max="9224" width="9.375" style="15" customWidth="1"/>
    <col min="9225" max="9229" width="8" style="15" bestFit="1" customWidth="1"/>
    <col min="9230" max="9472" width="9" style="15"/>
    <col min="9473" max="9473" width="2" style="15" customWidth="1"/>
    <col min="9474" max="9474" width="8" style="15" bestFit="1" customWidth="1"/>
    <col min="9475" max="9475" width="8.375" style="15" customWidth="1"/>
    <col min="9476" max="9476" width="11" style="15" customWidth="1"/>
    <col min="9477" max="9477" width="8" style="15" customWidth="1"/>
    <col min="9478" max="9478" width="11.375" style="15" customWidth="1"/>
    <col min="9479" max="9479" width="9.75" style="15" customWidth="1"/>
    <col min="9480" max="9480" width="9.375" style="15" customWidth="1"/>
    <col min="9481" max="9485" width="8" style="15" bestFit="1" customWidth="1"/>
    <col min="9486" max="9728" width="9" style="15"/>
    <col min="9729" max="9729" width="2" style="15" customWidth="1"/>
    <col min="9730" max="9730" width="8" style="15" bestFit="1" customWidth="1"/>
    <col min="9731" max="9731" width="8.375" style="15" customWidth="1"/>
    <col min="9732" max="9732" width="11" style="15" customWidth="1"/>
    <col min="9733" max="9733" width="8" style="15" customWidth="1"/>
    <col min="9734" max="9734" width="11.375" style="15" customWidth="1"/>
    <col min="9735" max="9735" width="9.75" style="15" customWidth="1"/>
    <col min="9736" max="9736" width="9.375" style="15" customWidth="1"/>
    <col min="9737" max="9741" width="8" style="15" bestFit="1" customWidth="1"/>
    <col min="9742" max="9984" width="9" style="15"/>
    <col min="9985" max="9985" width="2" style="15" customWidth="1"/>
    <col min="9986" max="9986" width="8" style="15" bestFit="1" customWidth="1"/>
    <col min="9987" max="9987" width="8.375" style="15" customWidth="1"/>
    <col min="9988" max="9988" width="11" style="15" customWidth="1"/>
    <col min="9989" max="9989" width="8" style="15" customWidth="1"/>
    <col min="9990" max="9990" width="11.375" style="15" customWidth="1"/>
    <col min="9991" max="9991" width="9.75" style="15" customWidth="1"/>
    <col min="9992" max="9992" width="9.375" style="15" customWidth="1"/>
    <col min="9993" max="9997" width="8" style="15" bestFit="1" customWidth="1"/>
    <col min="9998" max="10240" width="9" style="15"/>
    <col min="10241" max="10241" width="2" style="15" customWidth="1"/>
    <col min="10242" max="10242" width="8" style="15" bestFit="1" customWidth="1"/>
    <col min="10243" max="10243" width="8.375" style="15" customWidth="1"/>
    <col min="10244" max="10244" width="11" style="15" customWidth="1"/>
    <col min="10245" max="10245" width="8" style="15" customWidth="1"/>
    <col min="10246" max="10246" width="11.375" style="15" customWidth="1"/>
    <col min="10247" max="10247" width="9.75" style="15" customWidth="1"/>
    <col min="10248" max="10248" width="9.375" style="15" customWidth="1"/>
    <col min="10249" max="10253" width="8" style="15" bestFit="1" customWidth="1"/>
    <col min="10254" max="10496" width="9" style="15"/>
    <col min="10497" max="10497" width="2" style="15" customWidth="1"/>
    <col min="10498" max="10498" width="8" style="15" bestFit="1" customWidth="1"/>
    <col min="10499" max="10499" width="8.375" style="15" customWidth="1"/>
    <col min="10500" max="10500" width="11" style="15" customWidth="1"/>
    <col min="10501" max="10501" width="8" style="15" customWidth="1"/>
    <col min="10502" max="10502" width="11.375" style="15" customWidth="1"/>
    <col min="10503" max="10503" width="9.75" style="15" customWidth="1"/>
    <col min="10504" max="10504" width="9.375" style="15" customWidth="1"/>
    <col min="10505" max="10509" width="8" style="15" bestFit="1" customWidth="1"/>
    <col min="10510" max="10752" width="9" style="15"/>
    <col min="10753" max="10753" width="2" style="15" customWidth="1"/>
    <col min="10754" max="10754" width="8" style="15" bestFit="1" customWidth="1"/>
    <col min="10755" max="10755" width="8.375" style="15" customWidth="1"/>
    <col min="10756" max="10756" width="11" style="15" customWidth="1"/>
    <col min="10757" max="10757" width="8" style="15" customWidth="1"/>
    <col min="10758" max="10758" width="11.375" style="15" customWidth="1"/>
    <col min="10759" max="10759" width="9.75" style="15" customWidth="1"/>
    <col min="10760" max="10760" width="9.375" style="15" customWidth="1"/>
    <col min="10761" max="10765" width="8" style="15" bestFit="1" customWidth="1"/>
    <col min="10766" max="11008" width="9" style="15"/>
    <col min="11009" max="11009" width="2" style="15" customWidth="1"/>
    <col min="11010" max="11010" width="8" style="15" bestFit="1" customWidth="1"/>
    <col min="11011" max="11011" width="8.375" style="15" customWidth="1"/>
    <col min="11012" max="11012" width="11" style="15" customWidth="1"/>
    <col min="11013" max="11013" width="8" style="15" customWidth="1"/>
    <col min="11014" max="11014" width="11.375" style="15" customWidth="1"/>
    <col min="11015" max="11015" width="9.75" style="15" customWidth="1"/>
    <col min="11016" max="11016" width="9.375" style="15" customWidth="1"/>
    <col min="11017" max="11021" width="8" style="15" bestFit="1" customWidth="1"/>
    <col min="11022" max="11264" width="9" style="15"/>
    <col min="11265" max="11265" width="2" style="15" customWidth="1"/>
    <col min="11266" max="11266" width="8" style="15" bestFit="1" customWidth="1"/>
    <col min="11267" max="11267" width="8.375" style="15" customWidth="1"/>
    <col min="11268" max="11268" width="11" style="15" customWidth="1"/>
    <col min="11269" max="11269" width="8" style="15" customWidth="1"/>
    <col min="11270" max="11270" width="11.375" style="15" customWidth="1"/>
    <col min="11271" max="11271" width="9.75" style="15" customWidth="1"/>
    <col min="11272" max="11272" width="9.375" style="15" customWidth="1"/>
    <col min="11273" max="11277" width="8" style="15" bestFit="1" customWidth="1"/>
    <col min="11278" max="11520" width="9" style="15"/>
    <col min="11521" max="11521" width="2" style="15" customWidth="1"/>
    <col min="11522" max="11522" width="8" style="15" bestFit="1" customWidth="1"/>
    <col min="11523" max="11523" width="8.375" style="15" customWidth="1"/>
    <col min="11524" max="11524" width="11" style="15" customWidth="1"/>
    <col min="11525" max="11525" width="8" style="15" customWidth="1"/>
    <col min="11526" max="11526" width="11.375" style="15" customWidth="1"/>
    <col min="11527" max="11527" width="9.75" style="15" customWidth="1"/>
    <col min="11528" max="11528" width="9.375" style="15" customWidth="1"/>
    <col min="11529" max="11533" width="8" style="15" bestFit="1" customWidth="1"/>
    <col min="11534" max="11776" width="9" style="15"/>
    <col min="11777" max="11777" width="2" style="15" customWidth="1"/>
    <col min="11778" max="11778" width="8" style="15" bestFit="1" customWidth="1"/>
    <col min="11779" max="11779" width="8.375" style="15" customWidth="1"/>
    <col min="11780" max="11780" width="11" style="15" customWidth="1"/>
    <col min="11781" max="11781" width="8" style="15" customWidth="1"/>
    <col min="11782" max="11782" width="11.375" style="15" customWidth="1"/>
    <col min="11783" max="11783" width="9.75" style="15" customWidth="1"/>
    <col min="11784" max="11784" width="9.375" style="15" customWidth="1"/>
    <col min="11785" max="11789" width="8" style="15" bestFit="1" customWidth="1"/>
    <col min="11790" max="12032" width="9" style="15"/>
    <col min="12033" max="12033" width="2" style="15" customWidth="1"/>
    <col min="12034" max="12034" width="8" style="15" bestFit="1" customWidth="1"/>
    <col min="12035" max="12035" width="8.375" style="15" customWidth="1"/>
    <col min="12036" max="12036" width="11" style="15" customWidth="1"/>
    <col min="12037" max="12037" width="8" style="15" customWidth="1"/>
    <col min="12038" max="12038" width="11.375" style="15" customWidth="1"/>
    <col min="12039" max="12039" width="9.75" style="15" customWidth="1"/>
    <col min="12040" max="12040" width="9.375" style="15" customWidth="1"/>
    <col min="12041" max="12045" width="8" style="15" bestFit="1" customWidth="1"/>
    <col min="12046" max="12288" width="9" style="15"/>
    <col min="12289" max="12289" width="2" style="15" customWidth="1"/>
    <col min="12290" max="12290" width="8" style="15" bestFit="1" customWidth="1"/>
    <col min="12291" max="12291" width="8.375" style="15" customWidth="1"/>
    <col min="12292" max="12292" width="11" style="15" customWidth="1"/>
    <col min="12293" max="12293" width="8" style="15" customWidth="1"/>
    <col min="12294" max="12294" width="11.375" style="15" customWidth="1"/>
    <col min="12295" max="12295" width="9.75" style="15" customWidth="1"/>
    <col min="12296" max="12296" width="9.375" style="15" customWidth="1"/>
    <col min="12297" max="12301" width="8" style="15" bestFit="1" customWidth="1"/>
    <col min="12302" max="12544" width="9" style="15"/>
    <col min="12545" max="12545" width="2" style="15" customWidth="1"/>
    <col min="12546" max="12546" width="8" style="15" bestFit="1" customWidth="1"/>
    <col min="12547" max="12547" width="8.375" style="15" customWidth="1"/>
    <col min="12548" max="12548" width="11" style="15" customWidth="1"/>
    <col min="12549" max="12549" width="8" style="15" customWidth="1"/>
    <col min="12550" max="12550" width="11.375" style="15" customWidth="1"/>
    <col min="12551" max="12551" width="9.75" style="15" customWidth="1"/>
    <col min="12552" max="12552" width="9.375" style="15" customWidth="1"/>
    <col min="12553" max="12557" width="8" style="15" bestFit="1" customWidth="1"/>
    <col min="12558" max="12800" width="9" style="15"/>
    <col min="12801" max="12801" width="2" style="15" customWidth="1"/>
    <col min="12802" max="12802" width="8" style="15" bestFit="1" customWidth="1"/>
    <col min="12803" max="12803" width="8.375" style="15" customWidth="1"/>
    <col min="12804" max="12804" width="11" style="15" customWidth="1"/>
    <col min="12805" max="12805" width="8" style="15" customWidth="1"/>
    <col min="12806" max="12806" width="11.375" style="15" customWidth="1"/>
    <col min="12807" max="12807" width="9.75" style="15" customWidth="1"/>
    <col min="12808" max="12808" width="9.375" style="15" customWidth="1"/>
    <col min="12809" max="12813" width="8" style="15" bestFit="1" customWidth="1"/>
    <col min="12814" max="13056" width="9" style="15"/>
    <col min="13057" max="13057" width="2" style="15" customWidth="1"/>
    <col min="13058" max="13058" width="8" style="15" bestFit="1" customWidth="1"/>
    <col min="13059" max="13059" width="8.375" style="15" customWidth="1"/>
    <col min="13060" max="13060" width="11" style="15" customWidth="1"/>
    <col min="13061" max="13061" width="8" style="15" customWidth="1"/>
    <col min="13062" max="13062" width="11.375" style="15" customWidth="1"/>
    <col min="13063" max="13063" width="9.75" style="15" customWidth="1"/>
    <col min="13064" max="13064" width="9.375" style="15" customWidth="1"/>
    <col min="13065" max="13069" width="8" style="15" bestFit="1" customWidth="1"/>
    <col min="13070" max="13312" width="9" style="15"/>
    <col min="13313" max="13313" width="2" style="15" customWidth="1"/>
    <col min="13314" max="13314" width="8" style="15" bestFit="1" customWidth="1"/>
    <col min="13315" max="13315" width="8.375" style="15" customWidth="1"/>
    <col min="13316" max="13316" width="11" style="15" customWidth="1"/>
    <col min="13317" max="13317" width="8" style="15" customWidth="1"/>
    <col min="13318" max="13318" width="11.375" style="15" customWidth="1"/>
    <col min="13319" max="13319" width="9.75" style="15" customWidth="1"/>
    <col min="13320" max="13320" width="9.375" style="15" customWidth="1"/>
    <col min="13321" max="13325" width="8" style="15" bestFit="1" customWidth="1"/>
    <col min="13326" max="13568" width="9" style="15"/>
    <col min="13569" max="13569" width="2" style="15" customWidth="1"/>
    <col min="13570" max="13570" width="8" style="15" bestFit="1" customWidth="1"/>
    <col min="13571" max="13571" width="8.375" style="15" customWidth="1"/>
    <col min="13572" max="13572" width="11" style="15" customWidth="1"/>
    <col min="13573" max="13573" width="8" style="15" customWidth="1"/>
    <col min="13574" max="13574" width="11.375" style="15" customWidth="1"/>
    <col min="13575" max="13575" width="9.75" style="15" customWidth="1"/>
    <col min="13576" max="13576" width="9.375" style="15" customWidth="1"/>
    <col min="13577" max="13581" width="8" style="15" bestFit="1" customWidth="1"/>
    <col min="13582" max="13824" width="9" style="15"/>
    <col min="13825" max="13825" width="2" style="15" customWidth="1"/>
    <col min="13826" max="13826" width="8" style="15" bestFit="1" customWidth="1"/>
    <col min="13827" max="13827" width="8.375" style="15" customWidth="1"/>
    <col min="13828" max="13828" width="11" style="15" customWidth="1"/>
    <col min="13829" max="13829" width="8" style="15" customWidth="1"/>
    <col min="13830" max="13830" width="11.375" style="15" customWidth="1"/>
    <col min="13831" max="13831" width="9.75" style="15" customWidth="1"/>
    <col min="13832" max="13832" width="9.375" style="15" customWidth="1"/>
    <col min="13833" max="13837" width="8" style="15" bestFit="1" customWidth="1"/>
    <col min="13838" max="14080" width="9" style="15"/>
    <col min="14081" max="14081" width="2" style="15" customWidth="1"/>
    <col min="14082" max="14082" width="8" style="15" bestFit="1" customWidth="1"/>
    <col min="14083" max="14083" width="8.375" style="15" customWidth="1"/>
    <col min="14084" max="14084" width="11" style="15" customWidth="1"/>
    <col min="14085" max="14085" width="8" style="15" customWidth="1"/>
    <col min="14086" max="14086" width="11.375" style="15" customWidth="1"/>
    <col min="14087" max="14087" width="9.75" style="15" customWidth="1"/>
    <col min="14088" max="14088" width="9.375" style="15" customWidth="1"/>
    <col min="14089" max="14093" width="8" style="15" bestFit="1" customWidth="1"/>
    <col min="14094" max="14336" width="9" style="15"/>
    <col min="14337" max="14337" width="2" style="15" customWidth="1"/>
    <col min="14338" max="14338" width="8" style="15" bestFit="1" customWidth="1"/>
    <col min="14339" max="14339" width="8.375" style="15" customWidth="1"/>
    <col min="14340" max="14340" width="11" style="15" customWidth="1"/>
    <col min="14341" max="14341" width="8" style="15" customWidth="1"/>
    <col min="14342" max="14342" width="11.375" style="15" customWidth="1"/>
    <col min="14343" max="14343" width="9.75" style="15" customWidth="1"/>
    <col min="14344" max="14344" width="9.375" style="15" customWidth="1"/>
    <col min="14345" max="14349" width="8" style="15" bestFit="1" customWidth="1"/>
    <col min="14350" max="14592" width="9" style="15"/>
    <col min="14593" max="14593" width="2" style="15" customWidth="1"/>
    <col min="14594" max="14594" width="8" style="15" bestFit="1" customWidth="1"/>
    <col min="14595" max="14595" width="8.375" style="15" customWidth="1"/>
    <col min="14596" max="14596" width="11" style="15" customWidth="1"/>
    <col min="14597" max="14597" width="8" style="15" customWidth="1"/>
    <col min="14598" max="14598" width="11.375" style="15" customWidth="1"/>
    <col min="14599" max="14599" width="9.75" style="15" customWidth="1"/>
    <col min="14600" max="14600" width="9.375" style="15" customWidth="1"/>
    <col min="14601" max="14605" width="8" style="15" bestFit="1" customWidth="1"/>
    <col min="14606" max="14848" width="9" style="15"/>
    <col min="14849" max="14849" width="2" style="15" customWidth="1"/>
    <col min="14850" max="14850" width="8" style="15" bestFit="1" customWidth="1"/>
    <col min="14851" max="14851" width="8.375" style="15" customWidth="1"/>
    <col min="14852" max="14852" width="11" style="15" customWidth="1"/>
    <col min="14853" max="14853" width="8" style="15" customWidth="1"/>
    <col min="14854" max="14854" width="11.375" style="15" customWidth="1"/>
    <col min="14855" max="14855" width="9.75" style="15" customWidth="1"/>
    <col min="14856" max="14856" width="9.375" style="15" customWidth="1"/>
    <col min="14857" max="14861" width="8" style="15" bestFit="1" customWidth="1"/>
    <col min="14862" max="15104" width="9" style="15"/>
    <col min="15105" max="15105" width="2" style="15" customWidth="1"/>
    <col min="15106" max="15106" width="8" style="15" bestFit="1" customWidth="1"/>
    <col min="15107" max="15107" width="8.375" style="15" customWidth="1"/>
    <col min="15108" max="15108" width="11" style="15" customWidth="1"/>
    <col min="15109" max="15109" width="8" style="15" customWidth="1"/>
    <col min="15110" max="15110" width="11.375" style="15" customWidth="1"/>
    <col min="15111" max="15111" width="9.75" style="15" customWidth="1"/>
    <col min="15112" max="15112" width="9.375" style="15" customWidth="1"/>
    <col min="15113" max="15117" width="8" style="15" bestFit="1" customWidth="1"/>
    <col min="15118" max="15360" width="9" style="15"/>
    <col min="15361" max="15361" width="2" style="15" customWidth="1"/>
    <col min="15362" max="15362" width="8" style="15" bestFit="1" customWidth="1"/>
    <col min="15363" max="15363" width="8.375" style="15" customWidth="1"/>
    <col min="15364" max="15364" width="11" style="15" customWidth="1"/>
    <col min="15365" max="15365" width="8" style="15" customWidth="1"/>
    <col min="15366" max="15366" width="11.375" style="15" customWidth="1"/>
    <col min="15367" max="15367" width="9.75" style="15" customWidth="1"/>
    <col min="15368" max="15368" width="9.375" style="15" customWidth="1"/>
    <col min="15369" max="15373" width="8" style="15" bestFit="1" customWidth="1"/>
    <col min="15374" max="15616" width="9" style="15"/>
    <col min="15617" max="15617" width="2" style="15" customWidth="1"/>
    <col min="15618" max="15618" width="8" style="15" bestFit="1" customWidth="1"/>
    <col min="15619" max="15619" width="8.375" style="15" customWidth="1"/>
    <col min="15620" max="15620" width="11" style="15" customWidth="1"/>
    <col min="15621" max="15621" width="8" style="15" customWidth="1"/>
    <col min="15622" max="15622" width="11.375" style="15" customWidth="1"/>
    <col min="15623" max="15623" width="9.75" style="15" customWidth="1"/>
    <col min="15624" max="15624" width="9.375" style="15" customWidth="1"/>
    <col min="15625" max="15629" width="8" style="15" bestFit="1" customWidth="1"/>
    <col min="15630" max="15872" width="9" style="15"/>
    <col min="15873" max="15873" width="2" style="15" customWidth="1"/>
    <col min="15874" max="15874" width="8" style="15" bestFit="1" customWidth="1"/>
    <col min="15875" max="15875" width="8.375" style="15" customWidth="1"/>
    <col min="15876" max="15876" width="11" style="15" customWidth="1"/>
    <col min="15877" max="15877" width="8" style="15" customWidth="1"/>
    <col min="15878" max="15878" width="11.375" style="15" customWidth="1"/>
    <col min="15879" max="15879" width="9.75" style="15" customWidth="1"/>
    <col min="15880" max="15880" width="9.375" style="15" customWidth="1"/>
    <col min="15881" max="15885" width="8" style="15" bestFit="1" customWidth="1"/>
    <col min="15886" max="16128" width="9" style="15"/>
    <col min="16129" max="16129" width="2" style="15" customWidth="1"/>
    <col min="16130" max="16130" width="8" style="15" bestFit="1" customWidth="1"/>
    <col min="16131" max="16131" width="8.375" style="15" customWidth="1"/>
    <col min="16132" max="16132" width="11" style="15" customWidth="1"/>
    <col min="16133" max="16133" width="8" style="15" customWidth="1"/>
    <col min="16134" max="16134" width="11.375" style="15" customWidth="1"/>
    <col min="16135" max="16135" width="9.75" style="15" customWidth="1"/>
    <col min="16136" max="16136" width="9.375" style="15" customWidth="1"/>
    <col min="16137" max="16141" width="8" style="15" bestFit="1" customWidth="1"/>
    <col min="16142" max="16384" width="9" style="15"/>
  </cols>
  <sheetData>
    <row r="1" spans="2:15">
      <c r="B1" s="15" t="s">
        <v>0</v>
      </c>
    </row>
    <row r="2" spans="2:15">
      <c r="B2" s="2" t="s">
        <v>43</v>
      </c>
      <c r="C2" s="2" t="s">
        <v>44</v>
      </c>
      <c r="D2" s="2" t="s">
        <v>39</v>
      </c>
      <c r="E2" s="2" t="s">
        <v>66</v>
      </c>
      <c r="F2" s="2" t="s">
        <v>68</v>
      </c>
      <c r="G2" s="22" t="s">
        <v>74</v>
      </c>
      <c r="H2" s="22" t="s">
        <v>67</v>
      </c>
      <c r="I2" s="2" t="s">
        <v>34</v>
      </c>
      <c r="J2" s="2" t="s">
        <v>35</v>
      </c>
      <c r="K2" s="2" t="s">
        <v>36</v>
      </c>
      <c r="L2" s="2" t="s">
        <v>37</v>
      </c>
      <c r="M2" s="22" t="s">
        <v>45</v>
      </c>
    </row>
    <row r="3" spans="2:15">
      <c r="B3" s="2" t="s">
        <v>38</v>
      </c>
      <c r="C3" s="2" t="s">
        <v>47</v>
      </c>
      <c r="D3" s="2" t="s">
        <v>48</v>
      </c>
      <c r="E3" s="23">
        <v>1007</v>
      </c>
      <c r="F3" s="20" t="s">
        <v>69</v>
      </c>
      <c r="G3" s="2">
        <f>VLOOKUP(B3,$B$31:$E$35,MATCH(F3,$C$31:$E$31,0)+1,0)</f>
        <v>10</v>
      </c>
      <c r="H3" s="20" t="str">
        <f>IF(MOD(RIGHT(E3,2),3)=0,"A반",IF(MOD(RIGHT(E3,2),3)=1,"B반","C반"))</f>
        <v>B반</v>
      </c>
      <c r="I3" s="2">
        <v>4</v>
      </c>
      <c r="J3" s="2">
        <v>1</v>
      </c>
      <c r="K3" s="2">
        <v>9</v>
      </c>
      <c r="L3" s="2">
        <v>2</v>
      </c>
      <c r="M3" s="20">
        <f>fn업적(C3,I3,J3,K3,L3)</f>
        <v>4.3</v>
      </c>
      <c r="O3" s="21"/>
    </row>
    <row r="4" spans="2:15">
      <c r="B4" s="2" t="s">
        <v>40</v>
      </c>
      <c r="C4" s="2" t="s">
        <v>47</v>
      </c>
      <c r="D4" s="2" t="s">
        <v>49</v>
      </c>
      <c r="E4" s="23">
        <v>1005</v>
      </c>
      <c r="F4" s="20" t="s">
        <v>69</v>
      </c>
      <c r="G4" s="31">
        <f t="shared" ref="G4:G18" si="0">VLOOKUP(B4,$B$31:$E$35,MATCH(F4,$C$31:$E$31,0)+1,0)</f>
        <v>11</v>
      </c>
      <c r="H4" s="20" t="str">
        <f t="shared" ref="H4:H18" si="1">IF(MOD(RIGHT(E4,2),3)=0,"A반",IF(MOD(RIGHT(E4,2),3)=1,"B반","C반"))</f>
        <v>C반</v>
      </c>
      <c r="I4" s="2">
        <v>3</v>
      </c>
      <c r="J4" s="2">
        <v>5</v>
      </c>
      <c r="K4" s="2">
        <v>8</v>
      </c>
      <c r="L4" s="2">
        <v>3</v>
      </c>
      <c r="M4" s="20">
        <f t="shared" ref="M4:M18" si="2">fn업적(C4,I4,J4,K4,L4)</f>
        <v>4.9000000000000004</v>
      </c>
      <c r="O4" s="21"/>
    </row>
    <row r="5" spans="2:15">
      <c r="B5" s="2" t="s">
        <v>40</v>
      </c>
      <c r="C5" s="2" t="s">
        <v>47</v>
      </c>
      <c r="D5" s="2" t="s">
        <v>50</v>
      </c>
      <c r="E5" s="23">
        <v>1012</v>
      </c>
      <c r="F5" s="20" t="s">
        <v>69</v>
      </c>
      <c r="G5" s="31">
        <f t="shared" si="0"/>
        <v>11</v>
      </c>
      <c r="H5" s="20" t="str">
        <f t="shared" si="1"/>
        <v>A반</v>
      </c>
      <c r="I5" s="2">
        <v>1</v>
      </c>
      <c r="J5" s="2">
        <v>6</v>
      </c>
      <c r="K5" s="2">
        <v>17</v>
      </c>
      <c r="L5" s="2">
        <v>6</v>
      </c>
      <c r="M5" s="20">
        <f t="shared" si="2"/>
        <v>8.3000000000000007</v>
      </c>
      <c r="O5" s="21"/>
    </row>
    <row r="6" spans="2:15">
      <c r="B6" s="2" t="s">
        <v>38</v>
      </c>
      <c r="C6" s="2" t="s">
        <v>47</v>
      </c>
      <c r="D6" s="2" t="s">
        <v>51</v>
      </c>
      <c r="E6" s="23">
        <v>1008</v>
      </c>
      <c r="F6" s="20" t="s">
        <v>69</v>
      </c>
      <c r="G6" s="31">
        <f t="shared" si="0"/>
        <v>10</v>
      </c>
      <c r="H6" s="20" t="str">
        <f t="shared" si="1"/>
        <v>C반</v>
      </c>
      <c r="I6" s="2">
        <v>7</v>
      </c>
      <c r="J6" s="2">
        <v>7</v>
      </c>
      <c r="K6" s="2">
        <v>15</v>
      </c>
      <c r="L6" s="2">
        <v>5</v>
      </c>
      <c r="M6" s="20">
        <f t="shared" si="2"/>
        <v>8.8000000000000007</v>
      </c>
      <c r="O6" s="21"/>
    </row>
    <row r="7" spans="2:15">
      <c r="B7" s="2" t="s">
        <v>41</v>
      </c>
      <c r="C7" s="2" t="s">
        <v>47</v>
      </c>
      <c r="D7" s="2" t="s">
        <v>52</v>
      </c>
      <c r="E7" s="23">
        <v>1010</v>
      </c>
      <c r="F7" s="20" t="s">
        <v>69</v>
      </c>
      <c r="G7" s="31">
        <f t="shared" si="0"/>
        <v>12</v>
      </c>
      <c r="H7" s="20" t="str">
        <f t="shared" si="1"/>
        <v>B반</v>
      </c>
      <c r="I7" s="2">
        <v>6</v>
      </c>
      <c r="J7" s="2">
        <v>4</v>
      </c>
      <c r="K7" s="2">
        <v>6</v>
      </c>
      <c r="L7" s="2">
        <v>4</v>
      </c>
      <c r="M7" s="20">
        <f t="shared" si="2"/>
        <v>5</v>
      </c>
      <c r="O7" s="21"/>
    </row>
    <row r="8" spans="2:15">
      <c r="B8" s="2" t="s">
        <v>42</v>
      </c>
      <c r="C8" s="2" t="s">
        <v>47</v>
      </c>
      <c r="D8" s="2" t="s">
        <v>53</v>
      </c>
      <c r="E8" s="23">
        <v>1013</v>
      </c>
      <c r="F8" s="20" t="s">
        <v>69</v>
      </c>
      <c r="G8" s="31">
        <f t="shared" si="0"/>
        <v>13</v>
      </c>
      <c r="H8" s="20" t="str">
        <f t="shared" si="1"/>
        <v>B반</v>
      </c>
      <c r="I8" s="2">
        <v>8</v>
      </c>
      <c r="J8" s="2">
        <v>3</v>
      </c>
      <c r="K8" s="2">
        <v>14</v>
      </c>
      <c r="L8" s="2">
        <v>4</v>
      </c>
      <c r="M8" s="20">
        <f t="shared" si="2"/>
        <v>7.6000000000000005</v>
      </c>
      <c r="O8" s="21"/>
    </row>
    <row r="9" spans="2:15">
      <c r="B9" s="2" t="s">
        <v>38</v>
      </c>
      <c r="C9" s="2" t="s">
        <v>55</v>
      </c>
      <c r="D9" s="2" t="s">
        <v>56</v>
      </c>
      <c r="E9" s="23">
        <v>1016</v>
      </c>
      <c r="F9" s="20" t="s">
        <v>70</v>
      </c>
      <c r="G9" s="31">
        <f t="shared" si="0"/>
        <v>20</v>
      </c>
      <c r="H9" s="20" t="str">
        <f t="shared" si="1"/>
        <v>B반</v>
      </c>
      <c r="I9" s="2">
        <v>8</v>
      </c>
      <c r="J9" s="2">
        <v>4</v>
      </c>
      <c r="K9" s="2">
        <v>13</v>
      </c>
      <c r="L9" s="2">
        <v>5</v>
      </c>
      <c r="M9" s="20" t="str">
        <f t="shared" si="2"/>
        <v>대상자 아님</v>
      </c>
      <c r="O9" s="21"/>
    </row>
    <row r="10" spans="2:15">
      <c r="B10" s="2" t="s">
        <v>38</v>
      </c>
      <c r="C10" s="2" t="s">
        <v>55</v>
      </c>
      <c r="D10" s="2" t="s">
        <v>57</v>
      </c>
      <c r="E10" s="23">
        <v>2017</v>
      </c>
      <c r="F10" s="20" t="s">
        <v>70</v>
      </c>
      <c r="G10" s="31">
        <f t="shared" si="0"/>
        <v>20</v>
      </c>
      <c r="H10" s="20" t="str">
        <f t="shared" si="1"/>
        <v>C반</v>
      </c>
      <c r="I10" s="2">
        <v>7</v>
      </c>
      <c r="J10" s="2">
        <v>3</v>
      </c>
      <c r="K10" s="2">
        <v>19</v>
      </c>
      <c r="L10" s="2">
        <v>2</v>
      </c>
      <c r="M10" s="20" t="str">
        <f t="shared" si="2"/>
        <v>대상자 아님</v>
      </c>
      <c r="O10" s="21"/>
    </row>
    <row r="11" spans="2:15">
      <c r="B11" s="2" t="s">
        <v>41</v>
      </c>
      <c r="C11" s="2" t="s">
        <v>55</v>
      </c>
      <c r="D11" s="2" t="s">
        <v>58</v>
      </c>
      <c r="E11" s="23">
        <v>2015</v>
      </c>
      <c r="F11" s="20" t="s">
        <v>70</v>
      </c>
      <c r="G11" s="31">
        <f t="shared" si="0"/>
        <v>22</v>
      </c>
      <c r="H11" s="20" t="str">
        <f t="shared" si="1"/>
        <v>A반</v>
      </c>
      <c r="I11" s="2">
        <v>6</v>
      </c>
      <c r="J11" s="2">
        <v>5</v>
      </c>
      <c r="K11" s="2">
        <v>2</v>
      </c>
      <c r="L11" s="2">
        <v>2</v>
      </c>
      <c r="M11" s="20" t="str">
        <f t="shared" si="2"/>
        <v>대상자 아님</v>
      </c>
      <c r="O11" s="21"/>
    </row>
    <row r="12" spans="2:15">
      <c r="B12" s="2" t="s">
        <v>42</v>
      </c>
      <c r="C12" s="2" t="s">
        <v>55</v>
      </c>
      <c r="D12" s="2" t="s">
        <v>59</v>
      </c>
      <c r="E12" s="23">
        <v>2010</v>
      </c>
      <c r="F12" s="20" t="s">
        <v>70</v>
      </c>
      <c r="G12" s="31">
        <f t="shared" si="0"/>
        <v>23</v>
      </c>
      <c r="H12" s="20" t="str">
        <f t="shared" si="1"/>
        <v>B반</v>
      </c>
      <c r="I12" s="2">
        <v>7</v>
      </c>
      <c r="J12" s="2">
        <v>2</v>
      </c>
      <c r="K12" s="2">
        <v>3</v>
      </c>
      <c r="L12" s="2">
        <v>2</v>
      </c>
      <c r="M12" s="20" t="str">
        <f t="shared" si="2"/>
        <v>대상자 아님</v>
      </c>
      <c r="O12" s="21"/>
    </row>
    <row r="13" spans="2:15">
      <c r="B13" s="2" t="s">
        <v>40</v>
      </c>
      <c r="C13" s="2" t="s">
        <v>55</v>
      </c>
      <c r="D13" s="2" t="s">
        <v>60</v>
      </c>
      <c r="E13" s="23">
        <v>2004</v>
      </c>
      <c r="F13" s="20" t="s">
        <v>70</v>
      </c>
      <c r="G13" s="31">
        <f t="shared" si="0"/>
        <v>21</v>
      </c>
      <c r="H13" s="20" t="str">
        <f t="shared" si="1"/>
        <v>B반</v>
      </c>
      <c r="I13" s="2">
        <v>6</v>
      </c>
      <c r="J13" s="2">
        <v>9</v>
      </c>
      <c r="K13" s="2">
        <v>4</v>
      </c>
      <c r="L13" s="2">
        <v>11</v>
      </c>
      <c r="M13" s="20" t="str">
        <f t="shared" si="2"/>
        <v>대상자 아님</v>
      </c>
      <c r="O13" s="21"/>
    </row>
    <row r="14" spans="2:15">
      <c r="B14" s="2" t="s">
        <v>40</v>
      </c>
      <c r="C14" s="2" t="s">
        <v>55</v>
      </c>
      <c r="D14" s="2" t="s">
        <v>61</v>
      </c>
      <c r="E14" s="23">
        <v>2003</v>
      </c>
      <c r="F14" s="20" t="s">
        <v>71</v>
      </c>
      <c r="G14" s="31">
        <f t="shared" si="0"/>
        <v>31</v>
      </c>
      <c r="H14" s="20" t="str">
        <f t="shared" si="1"/>
        <v>A반</v>
      </c>
      <c r="I14" s="2">
        <v>9</v>
      </c>
      <c r="J14" s="2">
        <v>1</v>
      </c>
      <c r="K14" s="2">
        <v>5</v>
      </c>
      <c r="L14" s="2">
        <v>19</v>
      </c>
      <c r="M14" s="20" t="str">
        <f t="shared" si="2"/>
        <v>대상자 아님</v>
      </c>
      <c r="O14" s="21"/>
    </row>
    <row r="15" spans="2:15">
      <c r="B15" s="2" t="s">
        <v>40</v>
      </c>
      <c r="C15" s="2" t="s">
        <v>55</v>
      </c>
      <c r="D15" s="2" t="s">
        <v>62</v>
      </c>
      <c r="E15" s="23">
        <v>2033</v>
      </c>
      <c r="F15" s="20" t="s">
        <v>71</v>
      </c>
      <c r="G15" s="31">
        <f t="shared" si="0"/>
        <v>31</v>
      </c>
      <c r="H15" s="20" t="str">
        <f t="shared" si="1"/>
        <v>A반</v>
      </c>
      <c r="I15" s="2">
        <v>2</v>
      </c>
      <c r="J15" s="2">
        <v>5</v>
      </c>
      <c r="K15" s="2">
        <v>7</v>
      </c>
      <c r="L15" s="2">
        <v>2</v>
      </c>
      <c r="M15" s="20" t="str">
        <f t="shared" si="2"/>
        <v>대상자 아님</v>
      </c>
      <c r="O15" s="21"/>
    </row>
    <row r="16" spans="2:15">
      <c r="B16" s="2" t="s">
        <v>40</v>
      </c>
      <c r="C16" s="2" t="s">
        <v>55</v>
      </c>
      <c r="D16" s="2" t="s">
        <v>63</v>
      </c>
      <c r="E16" s="23">
        <v>2012</v>
      </c>
      <c r="F16" s="20" t="s">
        <v>71</v>
      </c>
      <c r="G16" s="31">
        <f t="shared" si="0"/>
        <v>31</v>
      </c>
      <c r="H16" s="20" t="str">
        <f t="shared" si="1"/>
        <v>A반</v>
      </c>
      <c r="I16" s="2">
        <v>5</v>
      </c>
      <c r="J16" s="2">
        <v>6</v>
      </c>
      <c r="K16" s="2">
        <v>12</v>
      </c>
      <c r="L16" s="2">
        <v>5</v>
      </c>
      <c r="M16" s="20" t="str">
        <f t="shared" si="2"/>
        <v>대상자 아님</v>
      </c>
      <c r="O16" s="21"/>
    </row>
    <row r="17" spans="2:15">
      <c r="B17" s="2" t="s">
        <v>42</v>
      </c>
      <c r="C17" s="2" t="s">
        <v>55</v>
      </c>
      <c r="D17" s="2" t="s">
        <v>64</v>
      </c>
      <c r="E17" s="23">
        <v>2019</v>
      </c>
      <c r="F17" s="20" t="s">
        <v>71</v>
      </c>
      <c r="G17" s="31">
        <f t="shared" si="0"/>
        <v>33</v>
      </c>
      <c r="H17" s="20" t="str">
        <f t="shared" si="1"/>
        <v>B반</v>
      </c>
      <c r="I17" s="2">
        <v>4</v>
      </c>
      <c r="J17" s="2">
        <v>4</v>
      </c>
      <c r="K17" s="2">
        <v>11</v>
      </c>
      <c r="L17" s="2">
        <v>2</v>
      </c>
      <c r="M17" s="20" t="str">
        <f t="shared" si="2"/>
        <v>대상자 아님</v>
      </c>
      <c r="O17" s="21"/>
    </row>
    <row r="18" spans="2:15">
      <c r="B18" s="2" t="s">
        <v>38</v>
      </c>
      <c r="C18" s="2" t="s">
        <v>55</v>
      </c>
      <c r="D18" s="2" t="s">
        <v>65</v>
      </c>
      <c r="E18" s="23">
        <v>2024</v>
      </c>
      <c r="F18" s="20" t="s">
        <v>71</v>
      </c>
      <c r="G18" s="31">
        <f t="shared" si="0"/>
        <v>30</v>
      </c>
      <c r="H18" s="20" t="str">
        <f t="shared" si="1"/>
        <v>A반</v>
      </c>
      <c r="I18" s="2">
        <v>7</v>
      </c>
      <c r="J18" s="2">
        <v>3</v>
      </c>
      <c r="K18" s="2">
        <v>9</v>
      </c>
      <c r="L18" s="2">
        <v>1</v>
      </c>
      <c r="M18" s="20" t="str">
        <f t="shared" si="2"/>
        <v>대상자 아님</v>
      </c>
      <c r="O18" s="21"/>
    </row>
    <row r="22" spans="2:15">
      <c r="B22" s="15" t="s">
        <v>72</v>
      </c>
    </row>
    <row r="23" spans="2:15">
      <c r="B23" s="2"/>
      <c r="C23" s="22" t="s">
        <v>46</v>
      </c>
      <c r="D23" s="22" t="s">
        <v>54</v>
      </c>
      <c r="F23" s="17" t="s">
        <v>124</v>
      </c>
    </row>
    <row r="24" spans="2:15">
      <c r="B24" s="2" t="s">
        <v>38</v>
      </c>
      <c r="C24" s="2">
        <f t="array" ref="C24">MAX(IF(($B$3:$B$18=$B24)*($C$3:$C$18=C$23),$I$3:$I$18))</f>
        <v>7</v>
      </c>
      <c r="D24" s="31">
        <f t="array" ref="D24">MAX(IF(($B$3:$B$18=$B24)*($C$3:$C$18=D$23),$I$3:$I$18))</f>
        <v>8</v>
      </c>
      <c r="F24" s="17">
        <f t="array" ref="F24">MAX(($B$3:$B$18=$B24)*($C$3:$C$18=C$23)*($I$3:$I$18))</f>
        <v>7</v>
      </c>
      <c r="G24" s="17">
        <f t="array" ref="G24">MAX(($B$3:$B$18=$B24)*($C$3:$C$18=D$23)*($I$3:$I$18))</f>
        <v>8</v>
      </c>
    </row>
    <row r="25" spans="2:15">
      <c r="B25" s="2" t="s">
        <v>40</v>
      </c>
      <c r="C25" s="31">
        <f t="array" ref="C25">MAX(IF(($B$3:$B$18=$B25)*($C$3:$C$18=C$23),$I$3:$I$18))</f>
        <v>3</v>
      </c>
      <c r="D25" s="31">
        <f t="array" ref="D25">MAX(IF(($B$3:$B$18=$B25)*($C$3:$C$18=D$23),$I$3:$I$18))</f>
        <v>9</v>
      </c>
      <c r="F25" s="17">
        <f t="array" ref="F25">MAX(($B$3:$B$18=$B25)*($C$3:$C$18=C$23)*($I$3:$I$18))</f>
        <v>3</v>
      </c>
      <c r="G25" s="17">
        <f t="array" ref="G25">MAX(($B$3:$B$18=$B25)*($C$3:$C$18=D$23)*($I$3:$I$18))</f>
        <v>9</v>
      </c>
    </row>
    <row r="26" spans="2:15">
      <c r="B26" s="2" t="s">
        <v>41</v>
      </c>
      <c r="C26" s="31">
        <f t="array" ref="C26">MAX(IF(($B$3:$B$18=$B26)*($C$3:$C$18=C$23),$I$3:$I$18))</f>
        <v>6</v>
      </c>
      <c r="D26" s="31">
        <f t="array" ref="D26">MAX(IF(($B$3:$B$18=$B26)*($C$3:$C$18=D$23),$I$3:$I$18))</f>
        <v>6</v>
      </c>
      <c r="F26" s="17">
        <f t="array" ref="F26">MAX(($B$3:$B$18=$B26)*($C$3:$C$18=C$23)*($I$3:$I$18))</f>
        <v>6</v>
      </c>
      <c r="G26" s="17">
        <f t="array" ref="G26">MAX(($B$3:$B$18=$B26)*($C$3:$C$18=D$23)*($I$3:$I$18))</f>
        <v>6</v>
      </c>
    </row>
    <row r="27" spans="2:15">
      <c r="B27" s="2" t="s">
        <v>42</v>
      </c>
      <c r="C27" s="31">
        <f t="array" ref="C27">MAX(IF(($B$3:$B$18=$B27)*($C$3:$C$18=C$23),$I$3:$I$18))</f>
        <v>8</v>
      </c>
      <c r="D27" s="31">
        <f t="array" ref="D27">MAX(IF(($B$3:$B$18=$B27)*($C$3:$C$18=D$23),$I$3:$I$18))</f>
        <v>7</v>
      </c>
      <c r="F27" s="17">
        <f t="array" ref="F27">MAX(($B$3:$B$18=$B27)*($C$3:$C$18=C$23)*($I$3:$I$18))</f>
        <v>8</v>
      </c>
      <c r="G27" s="17">
        <f t="array" ref="G27">MAX(($B$3:$B$18=$B27)*($C$3:$C$18=D$23)*($I$3:$I$18))</f>
        <v>7</v>
      </c>
    </row>
    <row r="30" spans="2:15">
      <c r="B30" s="15" t="s">
        <v>75</v>
      </c>
      <c r="G30" s="15" t="s">
        <v>123</v>
      </c>
    </row>
    <row r="31" spans="2:15">
      <c r="B31" s="24"/>
      <c r="C31" s="24" t="s">
        <v>69</v>
      </c>
      <c r="D31" s="24" t="s">
        <v>70</v>
      </c>
      <c r="E31" s="24" t="s">
        <v>71</v>
      </c>
      <c r="G31" s="15">
        <f>VLOOKUP(B3,$B$31:$E$35,MATCH(F3,$B$31:$E$31,0),0)</f>
        <v>10</v>
      </c>
    </row>
    <row r="32" spans="2:15">
      <c r="B32" s="2" t="s">
        <v>38</v>
      </c>
      <c r="C32" s="24">
        <v>10</v>
      </c>
      <c r="D32" s="24">
        <v>20</v>
      </c>
      <c r="E32" s="24">
        <v>30</v>
      </c>
    </row>
    <row r="33" spans="2:8">
      <c r="B33" s="2" t="s">
        <v>40</v>
      </c>
      <c r="C33" s="24">
        <v>11</v>
      </c>
      <c r="D33" s="24">
        <v>21</v>
      </c>
      <c r="E33" s="24">
        <v>31</v>
      </c>
    </row>
    <row r="34" spans="2:8">
      <c r="B34" s="2" t="s">
        <v>41</v>
      </c>
      <c r="C34" s="24">
        <v>12</v>
      </c>
      <c r="D34" s="24">
        <v>22</v>
      </c>
      <c r="E34" s="24">
        <v>32</v>
      </c>
    </row>
    <row r="35" spans="2:8">
      <c r="B35" s="2" t="s">
        <v>42</v>
      </c>
      <c r="C35" s="24">
        <v>13</v>
      </c>
      <c r="D35" s="24">
        <v>23</v>
      </c>
      <c r="E35" s="24">
        <v>33</v>
      </c>
    </row>
    <row r="38" spans="2:8">
      <c r="B38" s="15" t="s">
        <v>73</v>
      </c>
    </row>
    <row r="39" spans="2:8">
      <c r="B39" s="53" t="s">
        <v>33</v>
      </c>
      <c r="C39" s="22" t="s">
        <v>34</v>
      </c>
      <c r="D39" s="22" t="s">
        <v>35</v>
      </c>
      <c r="E39" s="22" t="s">
        <v>36</v>
      </c>
      <c r="F39" s="22" t="s">
        <v>37</v>
      </c>
    </row>
    <row r="40" spans="2:8">
      <c r="B40" s="53"/>
      <c r="C40" s="22" t="s">
        <v>39</v>
      </c>
      <c r="D40" s="22" t="s">
        <v>39</v>
      </c>
      <c r="E40" s="22" t="s">
        <v>39</v>
      </c>
      <c r="F40" s="22" t="s">
        <v>39</v>
      </c>
      <c r="H40" s="15" t="s">
        <v>125</v>
      </c>
    </row>
    <row r="41" spans="2:8">
      <c r="B41" s="2" t="s">
        <v>38</v>
      </c>
      <c r="C41" s="19" t="str">
        <f t="array" ref="C41">INDEX($D$3:$D$18,MATCH(MAX(($B$3:$B$18=$B41)*(I$3:I$18)),($B$3:$B$18=$B41)*(I$3:I$18),0),1)</f>
        <v>이상봉</v>
      </c>
      <c r="D41" s="19" t="str">
        <f t="array" ref="D41">INDEX($D$3:$D$18,MATCH(MAX(($B$3:$B$18=$B41)*(J$3:J$18)),($B$3:$B$18=$B41)*(J$3:J$18),0),1)</f>
        <v>한성현</v>
      </c>
      <c r="E41" s="19" t="str">
        <f t="array" ref="E41">INDEX($D$3:$D$18,MATCH(MAX(($B$3:$B$18=$B41)*(K$3:K$18)),($B$3:$B$18=$B41)*(K$3:K$18),0),1)</f>
        <v>정은미</v>
      </c>
      <c r="F41" s="19" t="str">
        <f t="array" ref="F41">INDEX($D$3:$D$18,MATCH(MAX(($B$3:$B$18=$B41)*(L$3:L$18)),($B$3:$B$18=$B41)*(L$3:L$18),0),1)</f>
        <v>한성현</v>
      </c>
      <c r="H41" s="15" t="s">
        <v>126</v>
      </c>
    </row>
    <row r="42" spans="2:8">
      <c r="B42" s="2" t="s">
        <v>40</v>
      </c>
      <c r="C42" s="19" t="str">
        <f t="array" ref="C42">INDEX($D$3:$D$18,MATCH(MAX(($B$3:$B$18=$B42)*(I$3:I$18)),($B$3:$B$18=$B42)*(I$3:I$18),0),1)</f>
        <v>노창용</v>
      </c>
      <c r="D42" s="19" t="str">
        <f t="array" ref="D42">INDEX($D$3:$D$18,MATCH(MAX(($B$3:$B$18=$B42)*(J$3:J$18)),($B$3:$B$18=$B42)*(J$3:J$18),0),1)</f>
        <v>유봉선</v>
      </c>
      <c r="E42" s="19" t="str">
        <f t="array" ref="E42">INDEX($D$3:$D$18,MATCH(MAX(($B$3:$B$18=$B42)*(K$3:K$18)),($B$3:$B$18=$B42)*(K$3:K$18),0),1)</f>
        <v>이원섭</v>
      </c>
      <c r="F42" s="19" t="str">
        <f t="array" ref="F42">INDEX($D$3:$D$18,MATCH(MAX(($B$3:$B$18=$B42)*(L$3:L$18)),($B$3:$B$18=$B42)*(L$3:L$18),0),1)</f>
        <v>노창용</v>
      </c>
    </row>
    <row r="43" spans="2:8">
      <c r="B43" s="2" t="s">
        <v>41</v>
      </c>
      <c r="C43" s="19" t="str">
        <f t="array" ref="C43">INDEX($D$3:$D$18,MATCH(MAX(($B$3:$B$18=$B43)*(I$3:I$18)),($B$3:$B$18=$B43)*(I$3:I$18),0),1)</f>
        <v>황선철</v>
      </c>
      <c r="D43" s="19" t="str">
        <f t="array" ref="D43">INDEX($D$3:$D$18,MATCH(MAX(($B$3:$B$18=$B43)*(J$3:J$18)),($B$3:$B$18=$B43)*(J$3:J$18),0),1)</f>
        <v>정태은</v>
      </c>
      <c r="E43" s="19" t="str">
        <f t="array" ref="E43">INDEX($D$3:$D$18,MATCH(MAX(($B$3:$B$18=$B43)*(K$3:K$18)),($B$3:$B$18=$B43)*(K$3:K$18),0),1)</f>
        <v>황선철</v>
      </c>
      <c r="F43" s="19" t="str">
        <f t="array" ref="F43">INDEX($D$3:$D$18,MATCH(MAX(($B$3:$B$18=$B43)*(L$3:L$18)),($B$3:$B$18=$B43)*(L$3:L$18),0),1)</f>
        <v>황선철</v>
      </c>
    </row>
    <row r="44" spans="2:8">
      <c r="B44" s="2" t="s">
        <v>42</v>
      </c>
      <c r="C44" s="19" t="str">
        <f t="array" ref="C44">INDEX($D$3:$D$18,MATCH(MAX(($B$3:$B$18=$B44)*(I$3:I$18)),($B$3:$B$18=$B44)*(I$3:I$18),0),1)</f>
        <v>방극준</v>
      </c>
      <c r="D44" s="19" t="str">
        <f t="array" ref="D44">INDEX($D$3:$D$18,MATCH(MAX(($B$3:$B$18=$B44)*(J$3:J$18)),($B$3:$B$18=$B44)*(J$3:J$18),0),1)</f>
        <v>조상진</v>
      </c>
      <c r="E44" s="19" t="str">
        <f t="array" ref="E44">INDEX($D$3:$D$18,MATCH(MAX(($B$3:$B$18=$B44)*(K$3:K$18)),($B$3:$B$18=$B44)*(K$3:K$18),0),1)</f>
        <v>방극준</v>
      </c>
      <c r="F44" s="19" t="str">
        <f t="array" ref="F44">INDEX($D$3:$D$18,MATCH(MAX(($B$3:$B$18=$B44)*(L$3:L$18)),($B$3:$B$18=$B44)*(L$3:L$18),0),1)</f>
        <v>방극준</v>
      </c>
    </row>
  </sheetData>
  <mergeCells count="1">
    <mergeCell ref="B39:B40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O57"/>
  <sheetViews>
    <sheetView tabSelected="1" topLeftCell="A36" workbookViewId="0">
      <selection activeCell="K60" sqref="K60"/>
    </sheetView>
  </sheetViews>
  <sheetFormatPr defaultRowHeight="16.5"/>
  <cols>
    <col min="1" max="1" width="8.375" customWidth="1"/>
    <col min="2" max="2" width="7.25" customWidth="1"/>
    <col min="3" max="3" width="14.875" customWidth="1"/>
    <col min="4" max="7" width="9" customWidth="1"/>
    <col min="8" max="8" width="7.125" customWidth="1"/>
    <col min="9" max="10" width="14.875" customWidth="1"/>
    <col min="11" max="12" width="19.75" customWidth="1"/>
    <col min="13" max="13" width="20.125" bestFit="1" customWidth="1"/>
  </cols>
  <sheetData>
    <row r="2" spans="2:15">
      <c r="B2" s="34" t="s">
        <v>76</v>
      </c>
      <c r="C2" s="34" t="s">
        <v>3</v>
      </c>
      <c r="D2" s="34" t="s">
        <v>2</v>
      </c>
      <c r="E2" s="34" t="s">
        <v>77</v>
      </c>
      <c r="F2" s="34" t="s">
        <v>1</v>
      </c>
      <c r="G2" s="34" t="s">
        <v>78</v>
      </c>
      <c r="H2" s="34" t="s">
        <v>79</v>
      </c>
      <c r="I2" s="34" t="s">
        <v>80</v>
      </c>
      <c r="J2" s="34" t="s">
        <v>81</v>
      </c>
      <c r="K2" s="34" t="s">
        <v>4</v>
      </c>
      <c r="L2" s="34" t="s">
        <v>5</v>
      </c>
      <c r="M2" s="34" t="s">
        <v>6</v>
      </c>
      <c r="N2" s="34" t="s">
        <v>7</v>
      </c>
      <c r="O2" s="34" t="s">
        <v>82</v>
      </c>
    </row>
    <row r="3" spans="2:15" ht="33">
      <c r="B3" s="35">
        <v>17001</v>
      </c>
      <c r="C3" s="36" t="s">
        <v>83</v>
      </c>
      <c r="D3" s="35">
        <v>22</v>
      </c>
      <c r="E3" s="36" t="s">
        <v>84</v>
      </c>
      <c r="F3" s="36" t="s">
        <v>85</v>
      </c>
      <c r="G3" s="35">
        <v>27</v>
      </c>
      <c r="H3" s="36" t="s">
        <v>86</v>
      </c>
      <c r="I3" s="35">
        <v>3</v>
      </c>
      <c r="J3" s="35">
        <v>10</v>
      </c>
      <c r="K3" s="35">
        <v>320</v>
      </c>
      <c r="L3" s="35">
        <v>7</v>
      </c>
      <c r="M3" s="35">
        <v>4</v>
      </c>
      <c r="N3" s="35">
        <v>2</v>
      </c>
      <c r="O3" s="35">
        <v>2</v>
      </c>
    </row>
    <row r="4" spans="2:15" ht="33">
      <c r="B4" s="35">
        <v>17002</v>
      </c>
      <c r="C4" s="36" t="s">
        <v>87</v>
      </c>
      <c r="D4" s="35">
        <v>22</v>
      </c>
      <c r="E4" s="36" t="s">
        <v>84</v>
      </c>
      <c r="F4" s="36" t="s">
        <v>85</v>
      </c>
      <c r="G4" s="35">
        <v>20</v>
      </c>
      <c r="H4" s="36" t="s">
        <v>86</v>
      </c>
      <c r="I4" s="35">
        <v>2</v>
      </c>
      <c r="J4" s="35">
        <v>9</v>
      </c>
      <c r="K4" s="35">
        <v>270</v>
      </c>
      <c r="L4" s="35">
        <v>6</v>
      </c>
      <c r="M4" s="35">
        <v>3</v>
      </c>
      <c r="N4" s="35">
        <v>3</v>
      </c>
      <c r="O4" s="35">
        <v>3</v>
      </c>
    </row>
    <row r="5" spans="2:15" ht="33">
      <c r="B5" s="35">
        <v>17003</v>
      </c>
      <c r="C5" s="36" t="s">
        <v>88</v>
      </c>
      <c r="D5" s="35">
        <v>23</v>
      </c>
      <c r="E5" s="36" t="s">
        <v>84</v>
      </c>
      <c r="F5" s="36" t="s">
        <v>85</v>
      </c>
      <c r="G5" s="35">
        <v>21</v>
      </c>
      <c r="H5" s="36" t="s">
        <v>89</v>
      </c>
      <c r="I5" s="35">
        <v>5</v>
      </c>
      <c r="J5" s="35">
        <v>8</v>
      </c>
      <c r="K5" s="35">
        <v>160</v>
      </c>
      <c r="L5" s="35">
        <v>7</v>
      </c>
      <c r="M5" s="35">
        <v>4</v>
      </c>
      <c r="N5" s="35">
        <v>4</v>
      </c>
      <c r="O5" s="35">
        <v>5</v>
      </c>
    </row>
    <row r="6" spans="2:15" ht="33">
      <c r="B6" s="35">
        <v>17004</v>
      </c>
      <c r="C6" s="36" t="s">
        <v>90</v>
      </c>
      <c r="D6" s="35">
        <v>21</v>
      </c>
      <c r="E6" s="36" t="s">
        <v>84</v>
      </c>
      <c r="F6" s="36" t="s">
        <v>85</v>
      </c>
      <c r="G6" s="35">
        <v>19</v>
      </c>
      <c r="H6" s="36" t="s">
        <v>91</v>
      </c>
      <c r="I6" s="35">
        <v>4</v>
      </c>
      <c r="J6" s="35">
        <v>10</v>
      </c>
      <c r="K6" s="35">
        <v>270</v>
      </c>
      <c r="L6" s="35">
        <v>6</v>
      </c>
      <c r="M6" s="35">
        <v>3</v>
      </c>
      <c r="N6" s="35">
        <v>5</v>
      </c>
      <c r="O6" s="35">
        <v>5</v>
      </c>
    </row>
    <row r="7" spans="2:15" ht="33">
      <c r="B7" s="35">
        <v>17005</v>
      </c>
      <c r="C7" s="36" t="s">
        <v>92</v>
      </c>
      <c r="D7" s="35">
        <v>21</v>
      </c>
      <c r="E7" s="36" t="s">
        <v>84</v>
      </c>
      <c r="F7" s="36" t="s">
        <v>85</v>
      </c>
      <c r="G7" s="35">
        <v>19</v>
      </c>
      <c r="H7" s="36" t="s">
        <v>89</v>
      </c>
      <c r="I7" s="35">
        <v>1</v>
      </c>
      <c r="J7" s="35">
        <v>9</v>
      </c>
      <c r="K7" s="35">
        <v>160</v>
      </c>
      <c r="L7" s="35">
        <v>9</v>
      </c>
      <c r="M7" s="35">
        <v>5</v>
      </c>
      <c r="N7" s="35">
        <v>7</v>
      </c>
      <c r="O7" s="35">
        <v>2</v>
      </c>
    </row>
    <row r="8" spans="2:15" ht="33">
      <c r="B8" s="35">
        <v>17006</v>
      </c>
      <c r="C8" s="36" t="s">
        <v>93</v>
      </c>
      <c r="D8" s="35">
        <v>22</v>
      </c>
      <c r="E8" s="36" t="s">
        <v>84</v>
      </c>
      <c r="F8" s="36" t="s">
        <v>85</v>
      </c>
      <c r="G8" s="35">
        <v>20</v>
      </c>
      <c r="H8" s="36" t="s">
        <v>94</v>
      </c>
      <c r="I8" s="35">
        <v>5</v>
      </c>
      <c r="J8" s="35">
        <v>8</v>
      </c>
      <c r="K8" s="35">
        <v>120</v>
      </c>
      <c r="L8" s="35">
        <v>2</v>
      </c>
      <c r="M8" s="35">
        <v>2</v>
      </c>
      <c r="N8" s="35">
        <v>12</v>
      </c>
      <c r="O8" s="35">
        <v>1</v>
      </c>
    </row>
    <row r="9" spans="2:15" ht="33">
      <c r="B9" s="35">
        <v>17007</v>
      </c>
      <c r="C9" s="36" t="s">
        <v>95</v>
      </c>
      <c r="D9" s="35">
        <v>24</v>
      </c>
      <c r="E9" s="36" t="s">
        <v>84</v>
      </c>
      <c r="F9" s="36" t="s">
        <v>85</v>
      </c>
      <c r="G9" s="35">
        <v>22</v>
      </c>
      <c r="H9" s="36" t="s">
        <v>96</v>
      </c>
      <c r="I9" s="35">
        <v>4</v>
      </c>
      <c r="J9" s="35">
        <v>7</v>
      </c>
      <c r="K9" s="35">
        <v>270</v>
      </c>
      <c r="L9" s="35">
        <v>5</v>
      </c>
      <c r="M9" s="35">
        <v>9</v>
      </c>
      <c r="N9" s="35">
        <v>11</v>
      </c>
      <c r="O9" s="35">
        <v>4</v>
      </c>
    </row>
    <row r="10" spans="2:15" ht="33">
      <c r="B10" s="35">
        <v>17008</v>
      </c>
      <c r="C10" s="36" t="s">
        <v>19</v>
      </c>
      <c r="D10" s="35">
        <v>19</v>
      </c>
      <c r="E10" s="36" t="s">
        <v>97</v>
      </c>
      <c r="F10" s="36" t="s">
        <v>98</v>
      </c>
      <c r="G10" s="35">
        <v>17</v>
      </c>
      <c r="H10" s="36" t="s">
        <v>94</v>
      </c>
      <c r="I10" s="35">
        <v>3</v>
      </c>
      <c r="J10" s="35">
        <v>0</v>
      </c>
      <c r="K10" s="35">
        <v>300</v>
      </c>
      <c r="L10" s="35">
        <v>4</v>
      </c>
      <c r="M10" s="35">
        <v>1</v>
      </c>
      <c r="N10" s="35">
        <v>9</v>
      </c>
      <c r="O10" s="35">
        <v>2</v>
      </c>
    </row>
    <row r="11" spans="2:15" ht="33">
      <c r="B11" s="35">
        <v>17009</v>
      </c>
      <c r="C11" s="36" t="s">
        <v>17</v>
      </c>
      <c r="D11" s="35">
        <v>18</v>
      </c>
      <c r="E11" s="36" t="s">
        <v>97</v>
      </c>
      <c r="F11" s="36" t="s">
        <v>98</v>
      </c>
      <c r="G11" s="35">
        <v>16</v>
      </c>
      <c r="H11" s="36" t="s">
        <v>86</v>
      </c>
      <c r="I11" s="35">
        <v>3</v>
      </c>
      <c r="J11" s="35">
        <v>5</v>
      </c>
      <c r="K11" s="35">
        <v>270</v>
      </c>
      <c r="L11" s="35">
        <v>3</v>
      </c>
      <c r="M11" s="35">
        <v>5</v>
      </c>
      <c r="N11" s="35">
        <v>8</v>
      </c>
      <c r="O11" s="35">
        <v>3</v>
      </c>
    </row>
    <row r="12" spans="2:15" ht="33">
      <c r="B12" s="35">
        <v>17010</v>
      </c>
      <c r="C12" s="36" t="s">
        <v>9</v>
      </c>
      <c r="D12" s="35">
        <v>18</v>
      </c>
      <c r="E12" s="36" t="s">
        <v>97</v>
      </c>
      <c r="F12" s="36" t="s">
        <v>98</v>
      </c>
      <c r="G12" s="35">
        <v>16</v>
      </c>
      <c r="H12" s="36" t="s">
        <v>86</v>
      </c>
      <c r="I12" s="35">
        <v>3</v>
      </c>
      <c r="J12" s="35">
        <v>2</v>
      </c>
      <c r="K12" s="35">
        <v>300</v>
      </c>
      <c r="L12" s="35">
        <v>1</v>
      </c>
      <c r="M12" s="35">
        <v>6</v>
      </c>
      <c r="N12" s="35">
        <v>17</v>
      </c>
      <c r="O12" s="35">
        <v>6</v>
      </c>
    </row>
    <row r="13" spans="2:15" ht="33">
      <c r="B13" s="35">
        <v>17011</v>
      </c>
      <c r="C13" s="36" t="s">
        <v>11</v>
      </c>
      <c r="D13" s="35">
        <v>19</v>
      </c>
      <c r="E13" s="36" t="s">
        <v>97</v>
      </c>
      <c r="F13" s="36" t="s">
        <v>98</v>
      </c>
      <c r="G13" s="35">
        <v>17</v>
      </c>
      <c r="H13" s="36" t="s">
        <v>94</v>
      </c>
      <c r="I13" s="35">
        <v>2</v>
      </c>
      <c r="J13" s="35">
        <v>3</v>
      </c>
      <c r="K13" s="35">
        <v>270</v>
      </c>
      <c r="L13" s="35">
        <v>7</v>
      </c>
      <c r="M13" s="35">
        <v>7</v>
      </c>
      <c r="N13" s="35">
        <v>15</v>
      </c>
      <c r="O13" s="35">
        <v>4</v>
      </c>
    </row>
    <row r="14" spans="2:15" ht="33">
      <c r="B14" s="35">
        <v>17012</v>
      </c>
      <c r="C14" s="36" t="s">
        <v>14</v>
      </c>
      <c r="D14" s="35">
        <v>18</v>
      </c>
      <c r="E14" s="36" t="s">
        <v>97</v>
      </c>
      <c r="F14" s="36" t="s">
        <v>98</v>
      </c>
      <c r="G14" s="35">
        <v>16</v>
      </c>
      <c r="H14" s="36" t="s">
        <v>91</v>
      </c>
      <c r="I14" s="35">
        <v>2</v>
      </c>
      <c r="J14" s="35">
        <v>4</v>
      </c>
      <c r="K14" s="35">
        <v>160</v>
      </c>
      <c r="L14" s="35">
        <v>6</v>
      </c>
      <c r="M14" s="35">
        <v>4</v>
      </c>
      <c r="N14" s="35">
        <v>15</v>
      </c>
      <c r="O14" s="35">
        <v>4</v>
      </c>
    </row>
    <row r="15" spans="2:15" ht="33">
      <c r="B15" s="35">
        <v>17013</v>
      </c>
      <c r="C15" s="36" t="s">
        <v>15</v>
      </c>
      <c r="D15" s="35">
        <v>17</v>
      </c>
      <c r="E15" s="36" t="s">
        <v>97</v>
      </c>
      <c r="F15" s="36" t="s">
        <v>98</v>
      </c>
      <c r="G15" s="35">
        <v>15</v>
      </c>
      <c r="H15" s="36" t="s">
        <v>96</v>
      </c>
      <c r="I15" s="35">
        <v>3</v>
      </c>
      <c r="J15" s="35">
        <v>5</v>
      </c>
      <c r="K15" s="35">
        <v>270</v>
      </c>
      <c r="L15" s="35">
        <v>8</v>
      </c>
      <c r="M15" s="35">
        <v>3</v>
      </c>
      <c r="N15" s="35">
        <v>14</v>
      </c>
      <c r="O15" s="35">
        <v>4</v>
      </c>
    </row>
    <row r="16" spans="2:15" ht="33">
      <c r="B16" s="35">
        <v>17014</v>
      </c>
      <c r="C16" s="36" t="s">
        <v>23</v>
      </c>
      <c r="D16" s="35">
        <v>17</v>
      </c>
      <c r="E16" s="36" t="s">
        <v>99</v>
      </c>
      <c r="F16" s="36" t="s">
        <v>28</v>
      </c>
      <c r="G16" s="35">
        <v>15</v>
      </c>
      <c r="H16" s="36" t="s">
        <v>94</v>
      </c>
      <c r="I16" s="35">
        <v>3</v>
      </c>
      <c r="J16" s="35">
        <v>6</v>
      </c>
      <c r="K16" s="35">
        <v>320</v>
      </c>
      <c r="L16" s="35">
        <v>8</v>
      </c>
      <c r="M16" s="35">
        <v>4</v>
      </c>
      <c r="N16" s="35">
        <v>13</v>
      </c>
      <c r="O16" s="35">
        <v>5</v>
      </c>
    </row>
    <row r="17" spans="2:15" ht="33">
      <c r="B17" s="35">
        <v>17015</v>
      </c>
      <c r="C17" s="36" t="s">
        <v>31</v>
      </c>
      <c r="D17" s="35">
        <v>19</v>
      </c>
      <c r="E17" s="36" t="s">
        <v>99</v>
      </c>
      <c r="F17" s="36" t="s">
        <v>28</v>
      </c>
      <c r="G17" s="35">
        <v>17</v>
      </c>
      <c r="H17" s="36" t="s">
        <v>94</v>
      </c>
      <c r="I17" s="35">
        <v>4</v>
      </c>
      <c r="J17" s="35">
        <v>5</v>
      </c>
      <c r="K17" s="35">
        <v>300</v>
      </c>
      <c r="L17" s="35">
        <v>7</v>
      </c>
      <c r="M17" s="35">
        <v>3</v>
      </c>
      <c r="N17" s="35">
        <v>19</v>
      </c>
      <c r="O17" s="35">
        <v>2</v>
      </c>
    </row>
    <row r="18" spans="2:15" ht="33">
      <c r="B18" s="35">
        <v>17016</v>
      </c>
      <c r="C18" s="36" t="s">
        <v>26</v>
      </c>
      <c r="D18" s="35">
        <v>14</v>
      </c>
      <c r="E18" s="36" t="s">
        <v>99</v>
      </c>
      <c r="F18" s="36" t="s">
        <v>28</v>
      </c>
      <c r="G18" s="35">
        <v>12</v>
      </c>
      <c r="H18" s="36" t="s">
        <v>91</v>
      </c>
      <c r="I18" s="35">
        <v>3</v>
      </c>
      <c r="J18" s="35">
        <v>2</v>
      </c>
      <c r="K18" s="35">
        <v>270</v>
      </c>
      <c r="L18" s="35">
        <v>6</v>
      </c>
      <c r="M18" s="35">
        <v>5</v>
      </c>
      <c r="N18" s="35">
        <v>2</v>
      </c>
      <c r="O18" s="35">
        <v>2</v>
      </c>
    </row>
    <row r="19" spans="2:15" ht="33">
      <c r="B19" s="35">
        <v>17017</v>
      </c>
      <c r="C19" s="36" t="s">
        <v>27</v>
      </c>
      <c r="D19" s="35">
        <v>14</v>
      </c>
      <c r="E19" s="36" t="s">
        <v>99</v>
      </c>
      <c r="F19" s="36" t="s">
        <v>28</v>
      </c>
      <c r="G19" s="35">
        <v>12</v>
      </c>
      <c r="H19" s="36" t="s">
        <v>96</v>
      </c>
      <c r="I19" s="35">
        <v>3</v>
      </c>
      <c r="J19" s="35">
        <v>1</v>
      </c>
      <c r="K19" s="35">
        <v>320</v>
      </c>
      <c r="L19" s="35">
        <v>7</v>
      </c>
      <c r="M19" s="35">
        <v>2</v>
      </c>
      <c r="N19" s="35">
        <v>3</v>
      </c>
      <c r="O19" s="35">
        <v>2</v>
      </c>
    </row>
    <row r="20" spans="2:15" ht="33">
      <c r="B20" s="35">
        <v>17018</v>
      </c>
      <c r="C20" s="36" t="s">
        <v>22</v>
      </c>
      <c r="D20" s="35">
        <v>12</v>
      </c>
      <c r="E20" s="36" t="s">
        <v>99</v>
      </c>
      <c r="F20" s="36" t="s">
        <v>28</v>
      </c>
      <c r="G20" s="35">
        <v>10</v>
      </c>
      <c r="H20" s="36" t="s">
        <v>86</v>
      </c>
      <c r="I20" s="35">
        <v>4</v>
      </c>
      <c r="J20" s="35">
        <v>1</v>
      </c>
      <c r="K20" s="35">
        <v>160</v>
      </c>
      <c r="L20" s="35">
        <v>6</v>
      </c>
      <c r="M20" s="35">
        <v>9</v>
      </c>
      <c r="N20" s="35">
        <v>4</v>
      </c>
      <c r="O20" s="35">
        <v>11</v>
      </c>
    </row>
    <row r="21" spans="2:15" ht="33">
      <c r="B21" s="35">
        <v>17019</v>
      </c>
      <c r="C21" s="36" t="s">
        <v>21</v>
      </c>
      <c r="D21" s="35">
        <v>11</v>
      </c>
      <c r="E21" s="36" t="s">
        <v>99</v>
      </c>
      <c r="F21" s="36" t="s">
        <v>28</v>
      </c>
      <c r="G21" s="35">
        <v>9</v>
      </c>
      <c r="H21" s="36" t="s">
        <v>86</v>
      </c>
      <c r="I21" s="35">
        <v>3</v>
      </c>
      <c r="J21" s="35">
        <v>3</v>
      </c>
      <c r="K21" s="35">
        <v>300</v>
      </c>
      <c r="L21" s="35">
        <v>9</v>
      </c>
      <c r="M21" s="35">
        <v>1</v>
      </c>
      <c r="N21" s="35">
        <v>5</v>
      </c>
      <c r="O21" s="35">
        <v>19</v>
      </c>
    </row>
    <row r="22" spans="2:15" ht="33">
      <c r="B22" s="35">
        <v>17020</v>
      </c>
      <c r="C22" s="36" t="s">
        <v>29</v>
      </c>
      <c r="D22" s="35">
        <v>10</v>
      </c>
      <c r="E22" s="36" t="s">
        <v>99</v>
      </c>
      <c r="F22" s="36" t="s">
        <v>28</v>
      </c>
      <c r="G22" s="35">
        <v>8</v>
      </c>
      <c r="H22" s="36" t="s">
        <v>86</v>
      </c>
      <c r="I22" s="35">
        <v>3</v>
      </c>
      <c r="J22" s="35">
        <v>5</v>
      </c>
      <c r="K22" s="35">
        <v>270</v>
      </c>
      <c r="L22" s="35">
        <v>2</v>
      </c>
      <c r="M22" s="35">
        <v>5</v>
      </c>
      <c r="N22" s="35">
        <v>7</v>
      </c>
      <c r="O22" s="35">
        <v>2</v>
      </c>
    </row>
    <row r="23" spans="2:15" ht="33">
      <c r="B23" s="35">
        <v>17021</v>
      </c>
      <c r="C23" s="36" t="s">
        <v>25</v>
      </c>
      <c r="D23" s="35">
        <v>10</v>
      </c>
      <c r="E23" s="36" t="s">
        <v>99</v>
      </c>
      <c r="F23" s="36" t="s">
        <v>28</v>
      </c>
      <c r="G23" s="35">
        <v>8</v>
      </c>
      <c r="H23" s="36" t="s">
        <v>86</v>
      </c>
      <c r="I23" s="35">
        <v>4</v>
      </c>
      <c r="J23" s="35">
        <v>0</v>
      </c>
      <c r="K23" s="35">
        <v>270</v>
      </c>
      <c r="L23" s="35">
        <v>5</v>
      </c>
      <c r="M23" s="35">
        <v>6</v>
      </c>
      <c r="N23" s="35">
        <v>12</v>
      </c>
      <c r="O23" s="35">
        <v>5</v>
      </c>
    </row>
    <row r="24" spans="2:15" ht="33">
      <c r="B24" s="35">
        <v>17022</v>
      </c>
      <c r="C24" s="36" t="s">
        <v>30</v>
      </c>
      <c r="D24" s="35">
        <v>12</v>
      </c>
      <c r="E24" s="36" t="s">
        <v>99</v>
      </c>
      <c r="F24" s="36" t="s">
        <v>28</v>
      </c>
      <c r="G24" s="35">
        <v>10</v>
      </c>
      <c r="H24" s="36" t="s">
        <v>96</v>
      </c>
      <c r="I24" s="35">
        <v>3</v>
      </c>
      <c r="J24" s="35">
        <v>1</v>
      </c>
      <c r="K24" s="35">
        <v>270</v>
      </c>
      <c r="L24" s="35">
        <v>4</v>
      </c>
      <c r="M24" s="35">
        <v>4</v>
      </c>
      <c r="N24" s="35">
        <v>11</v>
      </c>
      <c r="O24" s="35">
        <v>2</v>
      </c>
    </row>
    <row r="25" spans="2:15" ht="33">
      <c r="B25" s="35">
        <v>17023</v>
      </c>
      <c r="C25" s="36" t="s">
        <v>32</v>
      </c>
      <c r="D25" s="35">
        <v>12</v>
      </c>
      <c r="E25" s="36" t="s">
        <v>99</v>
      </c>
      <c r="F25" s="36" t="s">
        <v>28</v>
      </c>
      <c r="G25" s="35">
        <v>10</v>
      </c>
      <c r="H25" s="36" t="s">
        <v>94</v>
      </c>
      <c r="I25" s="35">
        <v>4</v>
      </c>
      <c r="J25" s="35">
        <v>12</v>
      </c>
      <c r="K25" s="35">
        <v>300</v>
      </c>
      <c r="L25" s="35">
        <v>7</v>
      </c>
      <c r="M25" s="35">
        <v>3</v>
      </c>
      <c r="N25" s="35">
        <v>9</v>
      </c>
      <c r="O25" s="35">
        <v>1</v>
      </c>
    </row>
    <row r="26" spans="2:15" ht="33">
      <c r="B26" s="35">
        <v>17024</v>
      </c>
      <c r="C26" s="36" t="s">
        <v>100</v>
      </c>
      <c r="D26" s="35">
        <v>9</v>
      </c>
      <c r="E26" s="36" t="s">
        <v>99</v>
      </c>
      <c r="F26" s="36" t="s">
        <v>28</v>
      </c>
      <c r="G26" s="35">
        <v>7</v>
      </c>
      <c r="H26" s="36" t="s">
        <v>91</v>
      </c>
      <c r="I26" s="35">
        <v>4</v>
      </c>
      <c r="J26" s="35">
        <v>10</v>
      </c>
      <c r="K26" s="35">
        <v>270</v>
      </c>
      <c r="L26" s="35">
        <v>6</v>
      </c>
      <c r="M26" s="35">
        <v>4</v>
      </c>
      <c r="N26" s="35">
        <v>8</v>
      </c>
      <c r="O26" s="35">
        <v>4</v>
      </c>
    </row>
    <row r="27" spans="2:15" ht="33">
      <c r="B27" s="35">
        <v>17025</v>
      </c>
      <c r="C27" s="36" t="s">
        <v>101</v>
      </c>
      <c r="D27" s="35">
        <v>8</v>
      </c>
      <c r="E27" s="36" t="s">
        <v>102</v>
      </c>
      <c r="F27" s="36" t="s">
        <v>13</v>
      </c>
      <c r="G27" s="35">
        <v>6</v>
      </c>
      <c r="H27" s="36" t="s">
        <v>91</v>
      </c>
      <c r="I27" s="35">
        <v>4</v>
      </c>
      <c r="J27" s="35">
        <v>4</v>
      </c>
      <c r="K27" s="35">
        <v>300</v>
      </c>
      <c r="L27" s="35">
        <v>7</v>
      </c>
      <c r="M27" s="35">
        <v>3</v>
      </c>
      <c r="N27" s="35">
        <v>17</v>
      </c>
      <c r="O27" s="35">
        <v>2</v>
      </c>
    </row>
    <row r="28" spans="2:15" ht="33">
      <c r="B28" s="35">
        <v>17026</v>
      </c>
      <c r="C28" s="36" t="s">
        <v>103</v>
      </c>
      <c r="D28" s="35">
        <v>6</v>
      </c>
      <c r="E28" s="36" t="s">
        <v>102</v>
      </c>
      <c r="F28" s="36" t="s">
        <v>13</v>
      </c>
      <c r="G28" s="35">
        <v>4</v>
      </c>
      <c r="H28" s="36" t="s">
        <v>94</v>
      </c>
      <c r="I28" s="35">
        <v>6</v>
      </c>
      <c r="J28" s="35">
        <v>4</v>
      </c>
      <c r="K28" s="35">
        <v>270</v>
      </c>
      <c r="L28" s="35">
        <v>6</v>
      </c>
      <c r="M28" s="35">
        <v>5</v>
      </c>
      <c r="N28" s="35">
        <v>15</v>
      </c>
      <c r="O28" s="35">
        <v>3</v>
      </c>
    </row>
    <row r="29" spans="2:15" ht="33">
      <c r="B29" s="35">
        <v>17027</v>
      </c>
      <c r="C29" s="36" t="s">
        <v>104</v>
      </c>
      <c r="D29" s="35">
        <v>5</v>
      </c>
      <c r="E29" s="36" t="s">
        <v>102</v>
      </c>
      <c r="F29" s="36" t="s">
        <v>13</v>
      </c>
      <c r="G29" s="35">
        <v>3</v>
      </c>
      <c r="H29" s="36" t="s">
        <v>86</v>
      </c>
      <c r="I29" s="35">
        <v>4</v>
      </c>
      <c r="J29" s="35">
        <v>5</v>
      </c>
      <c r="K29" s="35">
        <v>270</v>
      </c>
      <c r="L29" s="35">
        <v>9</v>
      </c>
      <c r="M29" s="35">
        <v>2</v>
      </c>
      <c r="N29" s="35">
        <v>15</v>
      </c>
      <c r="O29" s="35">
        <v>6</v>
      </c>
    </row>
    <row r="30" spans="2:15" ht="33">
      <c r="B30" s="35">
        <v>17028</v>
      </c>
      <c r="C30" s="36" t="s">
        <v>105</v>
      </c>
      <c r="D30" s="35">
        <v>4</v>
      </c>
      <c r="E30" s="36" t="s">
        <v>102</v>
      </c>
      <c r="F30" s="36" t="s">
        <v>13</v>
      </c>
      <c r="G30" s="35">
        <v>2</v>
      </c>
      <c r="H30" s="36" t="s">
        <v>94</v>
      </c>
      <c r="I30" s="35">
        <v>6</v>
      </c>
      <c r="J30" s="35">
        <v>6</v>
      </c>
      <c r="K30" s="35">
        <v>300</v>
      </c>
      <c r="L30" s="35">
        <v>2</v>
      </c>
      <c r="M30" s="35">
        <v>9</v>
      </c>
      <c r="N30" s="35">
        <v>14</v>
      </c>
      <c r="O30" s="35">
        <v>4</v>
      </c>
    </row>
    <row r="31" spans="2:15" ht="33">
      <c r="B31" s="35">
        <v>17029</v>
      </c>
      <c r="C31" s="36" t="s">
        <v>106</v>
      </c>
      <c r="D31" s="35">
        <v>5</v>
      </c>
      <c r="E31" s="36" t="s">
        <v>102</v>
      </c>
      <c r="F31" s="36" t="s">
        <v>13</v>
      </c>
      <c r="G31" s="35">
        <v>3</v>
      </c>
      <c r="H31" s="36" t="s">
        <v>89</v>
      </c>
      <c r="I31" s="35">
        <v>5</v>
      </c>
      <c r="J31" s="35">
        <v>7</v>
      </c>
      <c r="K31" s="35">
        <v>270</v>
      </c>
      <c r="L31" s="35">
        <v>5</v>
      </c>
      <c r="M31" s="35">
        <v>1</v>
      </c>
      <c r="N31" s="35">
        <v>4</v>
      </c>
      <c r="O31" s="35">
        <v>4</v>
      </c>
    </row>
    <row r="32" spans="2:15" ht="33">
      <c r="B32" s="35">
        <v>17030</v>
      </c>
      <c r="C32" s="36" t="s">
        <v>107</v>
      </c>
      <c r="D32" s="35">
        <v>7</v>
      </c>
      <c r="E32" s="36" t="s">
        <v>102</v>
      </c>
      <c r="F32" s="36" t="s">
        <v>13</v>
      </c>
      <c r="G32" s="35">
        <v>5</v>
      </c>
      <c r="H32" s="36" t="s">
        <v>89</v>
      </c>
      <c r="I32" s="35">
        <v>7</v>
      </c>
      <c r="J32" s="35">
        <v>7</v>
      </c>
      <c r="K32" s="35">
        <v>320</v>
      </c>
      <c r="L32" s="35">
        <v>4</v>
      </c>
      <c r="M32" s="35">
        <v>5</v>
      </c>
      <c r="N32" s="35">
        <v>5</v>
      </c>
      <c r="O32" s="35">
        <v>4</v>
      </c>
    </row>
    <row r="33" spans="2:15" ht="33">
      <c r="B33" s="35">
        <v>17031</v>
      </c>
      <c r="C33" s="36" t="s">
        <v>108</v>
      </c>
      <c r="D33" s="35">
        <v>9</v>
      </c>
      <c r="E33" s="36" t="s">
        <v>102</v>
      </c>
      <c r="F33" s="36" t="s">
        <v>13</v>
      </c>
      <c r="G33" s="35">
        <v>7</v>
      </c>
      <c r="H33" s="36" t="s">
        <v>86</v>
      </c>
      <c r="I33" s="35">
        <v>5</v>
      </c>
      <c r="J33" s="35">
        <v>8</v>
      </c>
      <c r="K33" s="35">
        <v>320</v>
      </c>
      <c r="L33" s="35">
        <v>3</v>
      </c>
      <c r="M33" s="35">
        <v>6</v>
      </c>
      <c r="N33" s="35">
        <v>7</v>
      </c>
      <c r="O33" s="35">
        <v>5</v>
      </c>
    </row>
    <row r="34" spans="2:15" ht="33">
      <c r="B34" s="35">
        <v>17032</v>
      </c>
      <c r="C34" s="36" t="s">
        <v>109</v>
      </c>
      <c r="D34" s="35">
        <v>7</v>
      </c>
      <c r="E34" s="36" t="s">
        <v>102</v>
      </c>
      <c r="F34" s="36" t="s">
        <v>13</v>
      </c>
      <c r="G34" s="35">
        <v>5</v>
      </c>
      <c r="H34" s="36" t="s">
        <v>94</v>
      </c>
      <c r="I34" s="35">
        <v>6</v>
      </c>
      <c r="J34" s="35">
        <v>1</v>
      </c>
      <c r="K34" s="35">
        <v>300</v>
      </c>
      <c r="L34" s="35">
        <v>1</v>
      </c>
      <c r="M34" s="35">
        <v>7</v>
      </c>
      <c r="N34" s="35">
        <v>12</v>
      </c>
      <c r="O34" s="35">
        <v>2</v>
      </c>
    </row>
    <row r="35" spans="2:15" ht="33">
      <c r="B35" s="35">
        <v>17033</v>
      </c>
      <c r="C35" s="36" t="s">
        <v>110</v>
      </c>
      <c r="D35" s="35">
        <v>4</v>
      </c>
      <c r="E35" s="36" t="s">
        <v>102</v>
      </c>
      <c r="F35" s="36" t="s">
        <v>13</v>
      </c>
      <c r="G35" s="35">
        <v>2</v>
      </c>
      <c r="H35" s="36" t="s">
        <v>96</v>
      </c>
      <c r="I35" s="35">
        <v>6</v>
      </c>
      <c r="J35" s="35">
        <v>12</v>
      </c>
      <c r="K35" s="35">
        <v>270</v>
      </c>
      <c r="L35" s="35">
        <v>7</v>
      </c>
      <c r="M35" s="35">
        <v>7</v>
      </c>
      <c r="N35" s="35">
        <v>11</v>
      </c>
      <c r="O35" s="35">
        <v>2</v>
      </c>
    </row>
    <row r="36" spans="2:15" ht="33">
      <c r="B36" s="35">
        <v>17034</v>
      </c>
      <c r="C36" s="36" t="s">
        <v>111</v>
      </c>
      <c r="D36" s="35">
        <v>5</v>
      </c>
      <c r="E36" s="36" t="s">
        <v>102</v>
      </c>
      <c r="F36" s="36" t="s">
        <v>13</v>
      </c>
      <c r="G36" s="35">
        <v>3</v>
      </c>
      <c r="H36" s="36" t="s">
        <v>91</v>
      </c>
      <c r="I36" s="35">
        <v>6</v>
      </c>
      <c r="J36" s="35">
        <v>5</v>
      </c>
      <c r="K36" s="35">
        <v>300</v>
      </c>
      <c r="L36" s="35">
        <v>6</v>
      </c>
      <c r="M36" s="35">
        <v>7</v>
      </c>
      <c r="N36" s="35">
        <v>9</v>
      </c>
      <c r="O36" s="35">
        <v>2</v>
      </c>
    </row>
    <row r="37" spans="2:15" ht="33">
      <c r="B37" s="35">
        <v>17035</v>
      </c>
      <c r="C37" s="36" t="s">
        <v>112</v>
      </c>
      <c r="D37" s="35">
        <v>6</v>
      </c>
      <c r="E37" s="36" t="s">
        <v>102</v>
      </c>
      <c r="F37" s="36" t="s">
        <v>13</v>
      </c>
      <c r="G37" s="35">
        <v>4</v>
      </c>
      <c r="H37" s="36" t="s">
        <v>96</v>
      </c>
      <c r="I37" s="35">
        <v>4</v>
      </c>
      <c r="J37" s="35">
        <v>6</v>
      </c>
      <c r="K37" s="35">
        <v>320</v>
      </c>
      <c r="L37" s="35">
        <v>8</v>
      </c>
      <c r="M37" s="35">
        <v>5</v>
      </c>
      <c r="N37" s="35">
        <v>8</v>
      </c>
      <c r="O37" s="35">
        <v>11</v>
      </c>
    </row>
    <row r="38" spans="2:15" ht="33">
      <c r="B38" s="35">
        <v>17036</v>
      </c>
      <c r="C38" s="36" t="s">
        <v>113</v>
      </c>
      <c r="D38" s="35">
        <v>6</v>
      </c>
      <c r="E38" s="36" t="s">
        <v>102</v>
      </c>
      <c r="F38" s="36" t="s">
        <v>13</v>
      </c>
      <c r="G38" s="35">
        <v>4</v>
      </c>
      <c r="H38" s="36" t="s">
        <v>86</v>
      </c>
      <c r="I38" s="35">
        <v>4</v>
      </c>
      <c r="J38" s="35">
        <v>4</v>
      </c>
      <c r="K38" s="35">
        <v>120</v>
      </c>
      <c r="L38" s="35">
        <v>8</v>
      </c>
      <c r="M38" s="35">
        <v>5</v>
      </c>
      <c r="N38" s="35">
        <v>17</v>
      </c>
      <c r="O38" s="35">
        <v>9</v>
      </c>
    </row>
    <row r="39" spans="2:15" ht="33">
      <c r="B39" s="35">
        <v>17037</v>
      </c>
      <c r="C39" s="36" t="s">
        <v>114</v>
      </c>
      <c r="D39" s="35">
        <v>3</v>
      </c>
      <c r="E39" s="36" t="s">
        <v>102</v>
      </c>
      <c r="F39" s="36" t="s">
        <v>13</v>
      </c>
      <c r="G39" s="35">
        <v>1</v>
      </c>
      <c r="H39" s="36" t="s">
        <v>91</v>
      </c>
      <c r="I39" s="35">
        <v>2</v>
      </c>
      <c r="J39" s="35">
        <v>4</v>
      </c>
      <c r="K39" s="35">
        <v>120</v>
      </c>
      <c r="L39" s="35">
        <v>5</v>
      </c>
      <c r="M39" s="35">
        <v>4</v>
      </c>
      <c r="N39" s="35">
        <v>15</v>
      </c>
      <c r="O39" s="35">
        <v>11</v>
      </c>
    </row>
    <row r="40" spans="2:15" ht="33">
      <c r="B40" s="35">
        <v>17038</v>
      </c>
      <c r="C40" s="36" t="s">
        <v>115</v>
      </c>
      <c r="D40" s="35">
        <v>3</v>
      </c>
      <c r="E40" s="36" t="s">
        <v>102</v>
      </c>
      <c r="F40" s="36" t="s">
        <v>13</v>
      </c>
      <c r="G40" s="35">
        <v>1</v>
      </c>
      <c r="H40" s="36" t="s">
        <v>91</v>
      </c>
      <c r="I40" s="35">
        <v>5</v>
      </c>
      <c r="J40" s="35">
        <v>4</v>
      </c>
      <c r="K40" s="35">
        <v>320</v>
      </c>
      <c r="L40" s="35">
        <v>5</v>
      </c>
      <c r="M40" s="35">
        <v>9</v>
      </c>
      <c r="N40" s="35">
        <v>11</v>
      </c>
      <c r="O40" s="35">
        <v>10</v>
      </c>
    </row>
    <row r="46" spans="2:15">
      <c r="D46" s="54" t="s">
        <v>1</v>
      </c>
    </row>
    <row r="47" spans="2:15">
      <c r="B47" s="54" t="s">
        <v>2</v>
      </c>
      <c r="C47" s="54" t="s">
        <v>130</v>
      </c>
      <c r="D47" t="s">
        <v>85</v>
      </c>
      <c r="E47" t="s">
        <v>98</v>
      </c>
      <c r="F47" t="s">
        <v>13</v>
      </c>
      <c r="G47" t="s">
        <v>28</v>
      </c>
      <c r="H47" t="s">
        <v>127</v>
      </c>
    </row>
    <row r="48" spans="2:15">
      <c r="B48" t="s">
        <v>131</v>
      </c>
      <c r="C48" t="s">
        <v>128</v>
      </c>
      <c r="D48" s="32" t="s">
        <v>181</v>
      </c>
      <c r="E48" s="32" t="s">
        <v>181</v>
      </c>
      <c r="F48" s="32">
        <v>39</v>
      </c>
      <c r="G48" s="32" t="s">
        <v>181</v>
      </c>
      <c r="H48" s="32">
        <v>39</v>
      </c>
    </row>
    <row r="49" spans="2:8">
      <c r="C49" t="s">
        <v>129</v>
      </c>
      <c r="D49" s="32" t="s">
        <v>181</v>
      </c>
      <c r="E49" s="32" t="s">
        <v>181</v>
      </c>
      <c r="F49" s="32">
        <v>39</v>
      </c>
      <c r="G49" s="32" t="s">
        <v>181</v>
      </c>
      <c r="H49" s="32">
        <v>39</v>
      </c>
    </row>
    <row r="50" spans="2:8">
      <c r="B50" t="s">
        <v>132</v>
      </c>
      <c r="C50" t="s">
        <v>128</v>
      </c>
      <c r="D50" s="32" t="s">
        <v>181</v>
      </c>
      <c r="E50" s="32" t="s">
        <v>181</v>
      </c>
      <c r="F50" s="32">
        <v>37</v>
      </c>
      <c r="G50" s="32">
        <v>13</v>
      </c>
      <c r="H50" s="32">
        <v>50</v>
      </c>
    </row>
    <row r="51" spans="2:8">
      <c r="C51" t="s">
        <v>129</v>
      </c>
      <c r="D51" s="32" t="s">
        <v>181</v>
      </c>
      <c r="E51" s="32" t="s">
        <v>181</v>
      </c>
      <c r="F51" s="32">
        <v>36</v>
      </c>
      <c r="G51" s="32">
        <v>15</v>
      </c>
      <c r="H51" s="32">
        <v>51</v>
      </c>
    </row>
    <row r="52" spans="2:8">
      <c r="B52" t="s">
        <v>133</v>
      </c>
      <c r="C52" t="s">
        <v>128</v>
      </c>
      <c r="D52" s="32" t="s">
        <v>181</v>
      </c>
      <c r="E52" s="32" t="s">
        <v>181</v>
      </c>
      <c r="F52" s="32" t="s">
        <v>181</v>
      </c>
      <c r="G52" s="32">
        <v>39</v>
      </c>
      <c r="H52" s="32">
        <v>39</v>
      </c>
    </row>
    <row r="53" spans="2:8">
      <c r="C53" t="s">
        <v>129</v>
      </c>
      <c r="D53" s="32" t="s">
        <v>181</v>
      </c>
      <c r="E53" s="32" t="s">
        <v>181</v>
      </c>
      <c r="F53" s="32" t="s">
        <v>181</v>
      </c>
      <c r="G53" s="32">
        <v>24</v>
      </c>
      <c r="H53" s="32">
        <v>24</v>
      </c>
    </row>
    <row r="54" spans="2:8">
      <c r="B54" t="s">
        <v>134</v>
      </c>
      <c r="C54" t="s">
        <v>128</v>
      </c>
      <c r="D54" s="32" t="s">
        <v>181</v>
      </c>
      <c r="E54" s="32">
        <v>29</v>
      </c>
      <c r="F54" s="32" t="s">
        <v>181</v>
      </c>
      <c r="G54" s="32">
        <v>15</v>
      </c>
      <c r="H54" s="32">
        <v>44</v>
      </c>
    </row>
    <row r="55" spans="2:8">
      <c r="C55" t="s">
        <v>129</v>
      </c>
      <c r="D55" s="32" t="s">
        <v>181</v>
      </c>
      <c r="E55" s="32">
        <v>26</v>
      </c>
      <c r="F55" s="32" t="s">
        <v>181</v>
      </c>
      <c r="G55" s="32">
        <v>7</v>
      </c>
      <c r="H55" s="32">
        <v>33</v>
      </c>
    </row>
    <row r="56" spans="2:8">
      <c r="B56" t="s">
        <v>135</v>
      </c>
      <c r="C56" t="s">
        <v>128</v>
      </c>
      <c r="D56" s="32">
        <v>42</v>
      </c>
      <c r="E56" s="32" t="s">
        <v>181</v>
      </c>
      <c r="F56" s="32" t="s">
        <v>181</v>
      </c>
      <c r="G56" s="32" t="s">
        <v>181</v>
      </c>
      <c r="H56" s="32">
        <v>42</v>
      </c>
    </row>
    <row r="57" spans="2:8">
      <c r="C57" t="s">
        <v>129</v>
      </c>
      <c r="D57" s="32">
        <v>30</v>
      </c>
      <c r="E57" s="32" t="s">
        <v>181</v>
      </c>
      <c r="F57" s="32" t="s">
        <v>181</v>
      </c>
      <c r="G57" s="32" t="s">
        <v>181</v>
      </c>
      <c r="H57" s="32">
        <v>30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B2:F35"/>
  <sheetViews>
    <sheetView workbookViewId="0">
      <selection activeCell="D55" sqref="D55"/>
    </sheetView>
  </sheetViews>
  <sheetFormatPr defaultRowHeight="16.5"/>
  <cols>
    <col min="1" max="1" width="4.125" customWidth="1"/>
    <col min="3" max="3" width="14" customWidth="1"/>
    <col min="4" max="5" width="11.125" bestFit="1" customWidth="1"/>
  </cols>
  <sheetData>
    <row r="2" spans="2:6">
      <c r="B2" s="37" t="s">
        <v>155</v>
      </c>
      <c r="C2" s="38" t="s">
        <v>156</v>
      </c>
      <c r="D2" s="38" t="s">
        <v>157</v>
      </c>
      <c r="E2" s="38" t="s">
        <v>158</v>
      </c>
      <c r="F2" s="39" t="s">
        <v>159</v>
      </c>
    </row>
    <row r="3" spans="2:6">
      <c r="B3" s="40" t="s">
        <v>160</v>
      </c>
      <c r="C3" s="41" t="s">
        <v>161</v>
      </c>
      <c r="D3" s="42">
        <v>43854</v>
      </c>
      <c r="E3" s="42">
        <v>43914</v>
      </c>
      <c r="F3" s="43">
        <v>0</v>
      </c>
    </row>
    <row r="4" spans="2:6" hidden="1">
      <c r="B4" s="40" t="s">
        <v>162</v>
      </c>
      <c r="C4" s="41" t="s">
        <v>161</v>
      </c>
      <c r="D4" s="42">
        <v>43891</v>
      </c>
      <c r="E4" s="42">
        <v>43925</v>
      </c>
      <c r="F4" s="43">
        <v>-3</v>
      </c>
    </row>
    <row r="5" spans="2:6" hidden="1">
      <c r="B5" s="40" t="s">
        <v>163</v>
      </c>
      <c r="C5" s="41" t="s">
        <v>161</v>
      </c>
      <c r="D5" s="42">
        <v>43951</v>
      </c>
      <c r="E5" s="42">
        <v>43917</v>
      </c>
      <c r="F5" s="43">
        <v>-1</v>
      </c>
    </row>
    <row r="6" spans="2:6" hidden="1">
      <c r="B6" s="40" t="s">
        <v>160</v>
      </c>
      <c r="C6" s="41" t="s">
        <v>164</v>
      </c>
      <c r="D6" s="42">
        <v>43908</v>
      </c>
      <c r="E6" s="42">
        <v>43912</v>
      </c>
      <c r="F6" s="43">
        <v>-4</v>
      </c>
    </row>
    <row r="7" spans="2:6" hidden="1">
      <c r="B7" s="40" t="s">
        <v>160</v>
      </c>
      <c r="C7" s="41" t="s">
        <v>165</v>
      </c>
      <c r="D7" s="42">
        <v>43905</v>
      </c>
      <c r="E7" s="42">
        <v>43908</v>
      </c>
      <c r="F7" s="43">
        <v>-3</v>
      </c>
    </row>
    <row r="8" spans="2:6" hidden="1">
      <c r="B8" s="40" t="s">
        <v>160</v>
      </c>
      <c r="C8" s="41" t="s">
        <v>166</v>
      </c>
      <c r="D8" s="42">
        <v>43912</v>
      </c>
      <c r="E8" s="42">
        <v>43915</v>
      </c>
      <c r="F8" s="43">
        <v>-3</v>
      </c>
    </row>
    <row r="9" spans="2:6">
      <c r="B9" s="40" t="s">
        <v>160</v>
      </c>
      <c r="C9" s="41" t="s">
        <v>167</v>
      </c>
      <c r="D9" s="42">
        <v>44058</v>
      </c>
      <c r="E9" s="42">
        <v>43906</v>
      </c>
      <c r="F9" s="43">
        <v>-1</v>
      </c>
    </row>
    <row r="10" spans="2:6" hidden="1">
      <c r="B10" s="40" t="s">
        <v>160</v>
      </c>
      <c r="C10" s="41" t="s">
        <v>168</v>
      </c>
      <c r="D10" s="42">
        <v>43904</v>
      </c>
      <c r="E10" s="42">
        <v>43905</v>
      </c>
      <c r="F10" s="43">
        <v>-1</v>
      </c>
    </row>
    <row r="11" spans="2:6" hidden="1">
      <c r="B11" s="40" t="s">
        <v>160</v>
      </c>
      <c r="C11" s="41" t="s">
        <v>169</v>
      </c>
      <c r="D11" s="42">
        <v>43916</v>
      </c>
      <c r="E11" s="42">
        <v>43915</v>
      </c>
      <c r="F11" s="43">
        <v>1</v>
      </c>
    </row>
    <row r="12" spans="2:6" hidden="1">
      <c r="B12" s="40" t="s">
        <v>160</v>
      </c>
      <c r="C12" s="41" t="s">
        <v>170</v>
      </c>
      <c r="D12" s="42">
        <v>43918</v>
      </c>
      <c r="E12" s="42">
        <v>43920</v>
      </c>
      <c r="F12" s="43">
        <v>-2</v>
      </c>
    </row>
    <row r="13" spans="2:6" hidden="1">
      <c r="B13" s="40" t="s">
        <v>160</v>
      </c>
      <c r="C13" s="41" t="s">
        <v>171</v>
      </c>
      <c r="D13" s="42">
        <v>43913</v>
      </c>
      <c r="E13" s="42">
        <v>43912</v>
      </c>
      <c r="F13" s="43">
        <v>1</v>
      </c>
    </row>
    <row r="14" spans="2:6" hidden="1">
      <c r="B14" s="40" t="s">
        <v>160</v>
      </c>
      <c r="C14" s="41" t="s">
        <v>172</v>
      </c>
      <c r="D14" s="42">
        <v>43922</v>
      </c>
      <c r="E14" s="42">
        <v>43922</v>
      </c>
      <c r="F14" s="43">
        <v>0</v>
      </c>
    </row>
    <row r="15" spans="2:6" hidden="1">
      <c r="B15" s="40" t="s">
        <v>160</v>
      </c>
      <c r="C15" s="41" t="s">
        <v>173</v>
      </c>
      <c r="D15" s="42">
        <v>43912</v>
      </c>
      <c r="E15" s="42">
        <v>43915</v>
      </c>
      <c r="F15" s="43">
        <v>-3</v>
      </c>
    </row>
    <row r="16" spans="2:6" hidden="1">
      <c r="B16" s="40" t="s">
        <v>162</v>
      </c>
      <c r="C16" s="41" t="s">
        <v>164</v>
      </c>
      <c r="D16" s="42">
        <v>43918</v>
      </c>
      <c r="E16" s="42">
        <v>43922</v>
      </c>
      <c r="F16" s="43">
        <v>-4</v>
      </c>
    </row>
    <row r="17" spans="2:6" hidden="1">
      <c r="B17" s="40" t="s">
        <v>162</v>
      </c>
      <c r="C17" s="41" t="s">
        <v>165</v>
      </c>
      <c r="D17" s="42">
        <v>43915</v>
      </c>
      <c r="E17" s="42">
        <v>43920</v>
      </c>
      <c r="F17" s="43">
        <v>-5</v>
      </c>
    </row>
    <row r="18" spans="2:6" hidden="1">
      <c r="B18" s="40" t="s">
        <v>162</v>
      </c>
      <c r="C18" s="41" t="s">
        <v>166</v>
      </c>
      <c r="D18" s="42">
        <v>43920</v>
      </c>
      <c r="E18" s="42">
        <v>43925</v>
      </c>
      <c r="F18" s="43">
        <v>-5</v>
      </c>
    </row>
    <row r="19" spans="2:6" hidden="1">
      <c r="B19" s="40" t="s">
        <v>162</v>
      </c>
      <c r="C19" s="41" t="s">
        <v>167</v>
      </c>
      <c r="D19" s="42">
        <v>43915</v>
      </c>
      <c r="E19" s="42">
        <v>43917</v>
      </c>
      <c r="F19" s="43">
        <v>-2</v>
      </c>
    </row>
    <row r="20" spans="2:6" hidden="1">
      <c r="B20" s="40" t="s">
        <v>162</v>
      </c>
      <c r="C20" s="41" t="s">
        <v>168</v>
      </c>
      <c r="D20" s="42">
        <v>43912</v>
      </c>
      <c r="E20" s="42">
        <v>43913</v>
      </c>
      <c r="F20" s="43">
        <v>-1</v>
      </c>
    </row>
    <row r="21" spans="2:6" hidden="1">
      <c r="B21" s="40" t="s">
        <v>162</v>
      </c>
      <c r="C21" s="41" t="s">
        <v>169</v>
      </c>
      <c r="D21" s="42">
        <v>43926</v>
      </c>
      <c r="E21" s="42">
        <v>43930</v>
      </c>
      <c r="F21" s="43">
        <v>-4</v>
      </c>
    </row>
    <row r="22" spans="2:6" hidden="1">
      <c r="B22" s="40" t="s">
        <v>162</v>
      </c>
      <c r="C22" s="41" t="s">
        <v>170</v>
      </c>
      <c r="D22" s="42">
        <v>43927</v>
      </c>
      <c r="E22" s="42">
        <v>43930</v>
      </c>
      <c r="F22" s="43">
        <v>-3</v>
      </c>
    </row>
    <row r="23" spans="2:6" hidden="1">
      <c r="B23" s="40" t="s">
        <v>162</v>
      </c>
      <c r="C23" s="41" t="s">
        <v>171</v>
      </c>
      <c r="D23" s="42">
        <v>43918</v>
      </c>
      <c r="E23" s="42">
        <v>43922</v>
      </c>
      <c r="F23" s="43">
        <v>-4</v>
      </c>
    </row>
    <row r="24" spans="2:6" hidden="1">
      <c r="B24" s="40" t="s">
        <v>162</v>
      </c>
      <c r="C24" s="41" t="s">
        <v>172</v>
      </c>
      <c r="D24" s="42">
        <v>43929</v>
      </c>
      <c r="E24" s="42">
        <v>43933</v>
      </c>
      <c r="F24" s="43">
        <v>-4</v>
      </c>
    </row>
    <row r="25" spans="2:6" hidden="1">
      <c r="B25" s="40" t="s">
        <v>162</v>
      </c>
      <c r="C25" s="41" t="s">
        <v>173</v>
      </c>
      <c r="D25" s="42">
        <v>43920</v>
      </c>
      <c r="E25" s="42">
        <v>43925</v>
      </c>
      <c r="F25" s="43">
        <v>-5</v>
      </c>
    </row>
    <row r="26" spans="2:6" hidden="1">
      <c r="B26" s="40" t="s">
        <v>163</v>
      </c>
      <c r="C26" s="41" t="s">
        <v>164</v>
      </c>
      <c r="D26" s="42">
        <v>43916</v>
      </c>
      <c r="E26" s="42">
        <v>43916</v>
      </c>
      <c r="F26" s="43">
        <v>0</v>
      </c>
    </row>
    <row r="27" spans="2:6" hidden="1">
      <c r="B27" s="40" t="s">
        <v>163</v>
      </c>
      <c r="C27" s="41" t="s">
        <v>165</v>
      </c>
      <c r="D27" s="42">
        <v>43913</v>
      </c>
      <c r="E27" s="42">
        <v>43915</v>
      </c>
      <c r="F27" s="43">
        <v>-2</v>
      </c>
    </row>
    <row r="28" spans="2:6" hidden="1">
      <c r="B28" s="40" t="s">
        <v>163</v>
      </c>
      <c r="C28" s="41" t="s">
        <v>166</v>
      </c>
      <c r="D28" s="42">
        <v>43916</v>
      </c>
      <c r="E28" s="42">
        <v>43918</v>
      </c>
      <c r="F28" s="43">
        <v>-2</v>
      </c>
    </row>
    <row r="29" spans="2:6" hidden="1">
      <c r="B29" s="40" t="s">
        <v>163</v>
      </c>
      <c r="C29" s="41" t="s">
        <v>167</v>
      </c>
      <c r="D29" s="42">
        <v>43907</v>
      </c>
      <c r="E29" s="42">
        <v>43908</v>
      </c>
      <c r="F29" s="43">
        <v>-1</v>
      </c>
    </row>
    <row r="30" spans="2:6">
      <c r="B30" s="40" t="s">
        <v>163</v>
      </c>
      <c r="C30" s="41" t="s">
        <v>168</v>
      </c>
      <c r="D30" s="42">
        <v>43845</v>
      </c>
      <c r="E30" s="42">
        <v>43909</v>
      </c>
      <c r="F30" s="43">
        <v>-4</v>
      </c>
    </row>
    <row r="31" spans="2:6" hidden="1">
      <c r="B31" s="40" t="s">
        <v>163</v>
      </c>
      <c r="C31" s="41" t="s">
        <v>169</v>
      </c>
      <c r="D31" s="42">
        <v>43916</v>
      </c>
      <c r="E31" s="42">
        <v>43918</v>
      </c>
      <c r="F31" s="43">
        <v>-2</v>
      </c>
    </row>
    <row r="32" spans="2:6" hidden="1">
      <c r="B32" s="40" t="s">
        <v>163</v>
      </c>
      <c r="C32" s="41" t="s">
        <v>170</v>
      </c>
      <c r="D32" s="42">
        <v>43919</v>
      </c>
      <c r="E32" s="42">
        <v>43920</v>
      </c>
      <c r="F32" s="43">
        <v>-1</v>
      </c>
    </row>
    <row r="33" spans="2:6" hidden="1">
      <c r="B33" s="40" t="s">
        <v>163</v>
      </c>
      <c r="C33" s="41" t="s">
        <v>171</v>
      </c>
      <c r="D33" s="42">
        <v>43912</v>
      </c>
      <c r="E33" s="42">
        <v>43909</v>
      </c>
      <c r="F33" s="43">
        <v>3</v>
      </c>
    </row>
    <row r="34" spans="2:6" hidden="1">
      <c r="B34" s="40" t="s">
        <v>163</v>
      </c>
      <c r="C34" s="41" t="s">
        <v>172</v>
      </c>
      <c r="D34" s="42">
        <v>43924</v>
      </c>
      <c r="E34" s="42">
        <v>43924</v>
      </c>
      <c r="F34" s="43">
        <v>0</v>
      </c>
    </row>
    <row r="35" spans="2:6">
      <c r="B35" s="40" t="s">
        <v>163</v>
      </c>
      <c r="C35" s="41" t="s">
        <v>173</v>
      </c>
      <c r="D35" s="42">
        <v>44009</v>
      </c>
      <c r="E35" s="42">
        <v>43919</v>
      </c>
      <c r="F35" s="43">
        <v>-2</v>
      </c>
    </row>
  </sheetData>
  <autoFilter ref="B2:F35">
    <filterColumn colId="2">
      <customFilters>
        <customFilter operator="lessThan" val="43891"/>
        <customFilter operator="greaterThan" val="43951"/>
      </customFilters>
    </filterColumn>
  </autoFilter>
  <phoneticPr fontId="1" type="noConversion"/>
  <dataValidations count="1">
    <dataValidation type="date" errorStyle="information" allowBlank="1" showInputMessage="1" showErrorMessage="1" errorTitle="날짜확인" error="입력 날짜가 정확한지 확인 바랍니다." promptTitle="입력날짜범위" prompt="3월~4월" sqref="D3:E35">
      <formula1>43891</formula1>
      <formula2>43951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D9"/>
  <sheetViews>
    <sheetView topLeftCell="C7" workbookViewId="0">
      <selection activeCell="L36" sqref="L36"/>
    </sheetView>
  </sheetViews>
  <sheetFormatPr defaultRowHeight="16.5"/>
  <cols>
    <col min="1" max="1" width="4.875" customWidth="1"/>
  </cols>
  <sheetData>
    <row r="2" spans="2:4">
      <c r="B2" s="26" t="s">
        <v>150</v>
      </c>
      <c r="C2" s="26" t="s">
        <v>151</v>
      </c>
      <c r="D2" s="29" t="s">
        <v>118</v>
      </c>
    </row>
    <row r="3" spans="2:4">
      <c r="B3" s="30" t="s">
        <v>119</v>
      </c>
      <c r="C3" s="26">
        <v>35</v>
      </c>
      <c r="D3" s="29">
        <v>35</v>
      </c>
    </row>
    <row r="4" spans="2:4">
      <c r="B4" s="30" t="s">
        <v>120</v>
      </c>
      <c r="C4" s="26">
        <v>25</v>
      </c>
      <c r="D4" s="29">
        <v>20</v>
      </c>
    </row>
    <row r="5" spans="2:4">
      <c r="B5" s="30" t="s">
        <v>152</v>
      </c>
      <c r="C5" s="26">
        <v>35</v>
      </c>
      <c r="D5" s="29">
        <v>32</v>
      </c>
    </row>
    <row r="6" spans="2:4">
      <c r="B6" s="30" t="s">
        <v>153</v>
      </c>
      <c r="C6" s="26">
        <v>25</v>
      </c>
      <c r="D6" s="29">
        <v>27</v>
      </c>
    </row>
    <row r="7" spans="2:4">
      <c r="B7" s="30" t="s">
        <v>154</v>
      </c>
      <c r="C7" s="26">
        <v>25</v>
      </c>
      <c r="D7" s="29">
        <v>27</v>
      </c>
    </row>
    <row r="8" spans="2:4">
      <c r="B8" s="30" t="s">
        <v>121</v>
      </c>
      <c r="C8" s="26">
        <v>30</v>
      </c>
      <c r="D8" s="29">
        <v>16</v>
      </c>
    </row>
    <row r="9" spans="2:4">
      <c r="B9" s="30" t="s">
        <v>122</v>
      </c>
      <c r="C9" s="26">
        <v>30</v>
      </c>
      <c r="D9" s="29">
        <v>25</v>
      </c>
    </row>
  </sheetData>
  <phoneticPr fontId="1" type="noConversion"/>
  <conditionalFormatting sqref="B3:D9">
    <cfRule type="expression" dxfId="0" priority="1" stopIfTrue="1">
      <formula>OR(LEN($F3)&gt;=2,DAYS360(#REF!,#REF!)&gt;=5)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6:F39"/>
  <sheetViews>
    <sheetView zoomScaleNormal="100" workbookViewId="0">
      <selection activeCell="H6" sqref="H6"/>
    </sheetView>
  </sheetViews>
  <sheetFormatPr defaultColWidth="9" defaultRowHeight="16.5"/>
  <cols>
    <col min="1" max="1" width="9" style="46"/>
    <col min="2" max="2" width="9.625" style="51" customWidth="1"/>
    <col min="3" max="3" width="9.625" style="52" customWidth="1"/>
    <col min="4" max="4" width="12.375" style="52" customWidth="1"/>
    <col min="5" max="5" width="11.5" style="52" customWidth="1"/>
    <col min="6" max="6" width="9.625" style="46" customWidth="1"/>
    <col min="7" max="7" width="9" style="46"/>
    <col min="8" max="8" width="8.75" style="46" bestFit="1" customWidth="1"/>
    <col min="9" max="9" width="8.75" style="46" customWidth="1"/>
    <col min="10" max="10" width="6.75" style="46" bestFit="1" customWidth="1"/>
    <col min="11" max="12" width="9" style="46"/>
    <col min="13" max="13" width="8.75" style="46" bestFit="1" customWidth="1"/>
    <col min="14" max="14" width="8.75" style="46" customWidth="1"/>
    <col min="15" max="15" width="6.75" style="46" bestFit="1" customWidth="1"/>
    <col min="16" max="16384" width="9" style="46"/>
  </cols>
  <sheetData>
    <row r="6" spans="2:6">
      <c r="B6" s="44" t="s">
        <v>174</v>
      </c>
      <c r="C6" s="45" t="s">
        <v>156</v>
      </c>
      <c r="D6" s="45" t="s">
        <v>175</v>
      </c>
      <c r="E6" s="45" t="s">
        <v>176</v>
      </c>
      <c r="F6" s="45" t="s">
        <v>177</v>
      </c>
    </row>
    <row r="7" spans="2:6">
      <c r="B7" s="47" t="s">
        <v>178</v>
      </c>
      <c r="C7" s="48" t="s">
        <v>161</v>
      </c>
      <c r="D7" s="49">
        <v>42462</v>
      </c>
      <c r="E7" s="49">
        <v>42461</v>
      </c>
      <c r="F7" s="50">
        <f t="shared" ref="F7:F39" si="0">D7-E7</f>
        <v>1</v>
      </c>
    </row>
    <row r="8" spans="2:6">
      <c r="B8" s="47" t="s">
        <v>179</v>
      </c>
      <c r="C8" s="48" t="s">
        <v>161</v>
      </c>
      <c r="D8" s="49">
        <v>42456</v>
      </c>
      <c r="E8" s="49">
        <v>42457</v>
      </c>
      <c r="F8" s="50">
        <f t="shared" si="0"/>
        <v>-1</v>
      </c>
    </row>
    <row r="9" spans="2:6">
      <c r="B9" s="47" t="s">
        <v>180</v>
      </c>
      <c r="C9" s="48" t="s">
        <v>161</v>
      </c>
      <c r="D9" s="49">
        <v>42454</v>
      </c>
      <c r="E9" s="49">
        <v>42454</v>
      </c>
      <c r="F9" s="50">
        <f t="shared" si="0"/>
        <v>0</v>
      </c>
    </row>
    <row r="10" spans="2:6">
      <c r="B10" s="47" t="s">
        <v>178</v>
      </c>
      <c r="C10" s="48" t="s">
        <v>164</v>
      </c>
      <c r="D10" s="49">
        <v>42458</v>
      </c>
      <c r="E10" s="49">
        <v>42462</v>
      </c>
      <c r="F10" s="50">
        <f t="shared" si="0"/>
        <v>-4</v>
      </c>
    </row>
    <row r="11" spans="2:6">
      <c r="B11" s="47" t="s">
        <v>179</v>
      </c>
      <c r="C11" s="48" t="s">
        <v>164</v>
      </c>
      <c r="D11" s="49">
        <v>42456</v>
      </c>
      <c r="E11" s="49">
        <v>42456</v>
      </c>
      <c r="F11" s="50">
        <f t="shared" si="0"/>
        <v>0</v>
      </c>
    </row>
    <row r="12" spans="2:6">
      <c r="B12" s="47" t="s">
        <v>180</v>
      </c>
      <c r="C12" s="48" t="s">
        <v>164</v>
      </c>
      <c r="D12" s="49">
        <v>42448</v>
      </c>
      <c r="E12" s="49">
        <v>42452</v>
      </c>
      <c r="F12" s="50">
        <f t="shared" si="0"/>
        <v>-4</v>
      </c>
    </row>
    <row r="13" spans="2:6">
      <c r="B13" s="47" t="s">
        <v>178</v>
      </c>
      <c r="C13" s="48" t="s">
        <v>165</v>
      </c>
      <c r="D13" s="49">
        <v>42455</v>
      </c>
      <c r="E13" s="49">
        <v>42460</v>
      </c>
      <c r="F13" s="50">
        <f t="shared" si="0"/>
        <v>-5</v>
      </c>
    </row>
    <row r="14" spans="2:6">
      <c r="B14" s="47" t="s">
        <v>179</v>
      </c>
      <c r="C14" s="48" t="s">
        <v>165</v>
      </c>
      <c r="D14" s="49">
        <v>42453</v>
      </c>
      <c r="E14" s="49">
        <v>42455</v>
      </c>
      <c r="F14" s="50">
        <f t="shared" si="0"/>
        <v>-2</v>
      </c>
    </row>
    <row r="15" spans="2:6">
      <c r="B15" s="47" t="s">
        <v>180</v>
      </c>
      <c r="C15" s="48" t="s">
        <v>165</v>
      </c>
      <c r="D15" s="49">
        <v>42445</v>
      </c>
      <c r="E15" s="49">
        <v>42448</v>
      </c>
      <c r="F15" s="50">
        <f t="shared" si="0"/>
        <v>-3</v>
      </c>
    </row>
    <row r="16" spans="2:6">
      <c r="B16" s="47" t="s">
        <v>178</v>
      </c>
      <c r="C16" s="48" t="s">
        <v>166</v>
      </c>
      <c r="D16" s="49">
        <v>42460</v>
      </c>
      <c r="E16" s="49">
        <v>42465</v>
      </c>
      <c r="F16" s="50">
        <v>0</v>
      </c>
    </row>
    <row r="17" spans="2:6">
      <c r="B17" s="47" t="s">
        <v>179</v>
      </c>
      <c r="C17" s="48" t="s">
        <v>166</v>
      </c>
      <c r="D17" s="49">
        <v>42456</v>
      </c>
      <c r="E17" s="49">
        <v>42458</v>
      </c>
      <c r="F17" s="50">
        <f t="shared" si="0"/>
        <v>-2</v>
      </c>
    </row>
    <row r="18" spans="2:6">
      <c r="B18" s="47" t="s">
        <v>180</v>
      </c>
      <c r="C18" s="48" t="s">
        <v>166</v>
      </c>
      <c r="D18" s="49">
        <v>42452</v>
      </c>
      <c r="E18" s="49">
        <v>42450</v>
      </c>
      <c r="F18" s="50">
        <f t="shared" si="0"/>
        <v>2</v>
      </c>
    </row>
    <row r="19" spans="2:6">
      <c r="B19" s="47" t="s">
        <v>178</v>
      </c>
      <c r="C19" s="48" t="s">
        <v>167</v>
      </c>
      <c r="D19" s="49">
        <v>42455</v>
      </c>
      <c r="E19" s="49">
        <v>42457</v>
      </c>
      <c r="F19" s="50">
        <f t="shared" si="0"/>
        <v>-2</v>
      </c>
    </row>
    <row r="20" spans="2:6">
      <c r="B20" s="47" t="s">
        <v>179</v>
      </c>
      <c r="C20" s="48" t="s">
        <v>167</v>
      </c>
      <c r="D20" s="49">
        <v>42447</v>
      </c>
      <c r="E20" s="49">
        <v>42448</v>
      </c>
      <c r="F20" s="50">
        <f t="shared" si="0"/>
        <v>-1</v>
      </c>
    </row>
    <row r="21" spans="2:6">
      <c r="B21" s="47" t="s">
        <v>180</v>
      </c>
      <c r="C21" s="48" t="s">
        <v>167</v>
      </c>
      <c r="D21" s="49">
        <v>42445</v>
      </c>
      <c r="E21" s="49">
        <v>42446</v>
      </c>
      <c r="F21" s="50">
        <f t="shared" si="0"/>
        <v>-1</v>
      </c>
    </row>
    <row r="22" spans="2:6">
      <c r="B22" s="47" t="s">
        <v>178</v>
      </c>
      <c r="C22" s="48" t="s">
        <v>168</v>
      </c>
      <c r="D22" s="49">
        <v>42452</v>
      </c>
      <c r="E22" s="49">
        <v>42453</v>
      </c>
      <c r="F22" s="50">
        <f t="shared" si="0"/>
        <v>-1</v>
      </c>
    </row>
    <row r="23" spans="2:6">
      <c r="B23" s="47" t="s">
        <v>179</v>
      </c>
      <c r="C23" s="48" t="s">
        <v>168</v>
      </c>
      <c r="D23" s="49">
        <v>42445</v>
      </c>
      <c r="E23" s="49">
        <v>42449</v>
      </c>
      <c r="F23" s="50">
        <f t="shared" si="0"/>
        <v>-4</v>
      </c>
    </row>
    <row r="24" spans="2:6">
      <c r="B24" s="47" t="s">
        <v>180</v>
      </c>
      <c r="C24" s="48" t="s">
        <v>168</v>
      </c>
      <c r="D24" s="49">
        <v>42444</v>
      </c>
      <c r="E24" s="49">
        <v>42443</v>
      </c>
      <c r="F24" s="50">
        <f t="shared" si="0"/>
        <v>1</v>
      </c>
    </row>
    <row r="25" spans="2:6">
      <c r="B25" s="47" t="s">
        <v>178</v>
      </c>
      <c r="C25" s="48" t="s">
        <v>169</v>
      </c>
      <c r="D25" s="49">
        <v>42466</v>
      </c>
      <c r="E25" s="49">
        <v>42470</v>
      </c>
      <c r="F25" s="50">
        <f t="shared" si="0"/>
        <v>-4</v>
      </c>
    </row>
    <row r="26" spans="2:6">
      <c r="B26" s="47" t="s">
        <v>180</v>
      </c>
      <c r="C26" s="48" t="s">
        <v>169</v>
      </c>
      <c r="D26" s="49">
        <v>42456</v>
      </c>
      <c r="E26" s="49">
        <v>42455</v>
      </c>
      <c r="F26" s="50">
        <f t="shared" si="0"/>
        <v>1</v>
      </c>
    </row>
    <row r="27" spans="2:6">
      <c r="B27" s="47" t="s">
        <v>179</v>
      </c>
      <c r="C27" s="48" t="s">
        <v>169</v>
      </c>
      <c r="D27" s="49">
        <v>42456</v>
      </c>
      <c r="E27" s="49">
        <v>42458</v>
      </c>
      <c r="F27" s="50">
        <f t="shared" si="0"/>
        <v>-2</v>
      </c>
    </row>
    <row r="28" spans="2:6">
      <c r="B28" s="47" t="s">
        <v>178</v>
      </c>
      <c r="C28" s="48" t="s">
        <v>170</v>
      </c>
      <c r="D28" s="49">
        <v>42467</v>
      </c>
      <c r="E28" s="49">
        <v>42470</v>
      </c>
      <c r="F28" s="50">
        <f t="shared" si="0"/>
        <v>-3</v>
      </c>
    </row>
    <row r="29" spans="2:6">
      <c r="B29" s="47" t="s">
        <v>179</v>
      </c>
      <c r="C29" s="48" t="s">
        <v>170</v>
      </c>
      <c r="D29" s="49">
        <v>42459</v>
      </c>
      <c r="E29" s="49">
        <v>42460</v>
      </c>
      <c r="F29" s="50">
        <f t="shared" si="0"/>
        <v>-1</v>
      </c>
    </row>
    <row r="30" spans="2:6">
      <c r="B30" s="47" t="s">
        <v>180</v>
      </c>
      <c r="C30" s="48" t="s">
        <v>170</v>
      </c>
      <c r="D30" s="49">
        <v>42458</v>
      </c>
      <c r="E30" s="49">
        <v>42460</v>
      </c>
      <c r="F30" s="50">
        <f t="shared" si="0"/>
        <v>-2</v>
      </c>
    </row>
    <row r="31" spans="2:6">
      <c r="B31" s="47" t="s">
        <v>178</v>
      </c>
      <c r="C31" s="48" t="s">
        <v>171</v>
      </c>
      <c r="D31" s="49">
        <v>42458</v>
      </c>
      <c r="E31" s="49">
        <v>42462</v>
      </c>
      <c r="F31" s="50">
        <f t="shared" si="0"/>
        <v>-4</v>
      </c>
    </row>
    <row r="32" spans="2:6">
      <c r="B32" s="47" t="s">
        <v>180</v>
      </c>
      <c r="C32" s="48" t="s">
        <v>171</v>
      </c>
      <c r="D32" s="49">
        <v>42453</v>
      </c>
      <c r="E32" s="49">
        <v>42452</v>
      </c>
      <c r="F32" s="50">
        <f t="shared" si="0"/>
        <v>1</v>
      </c>
    </row>
    <row r="33" spans="2:6">
      <c r="B33" s="47" t="s">
        <v>179</v>
      </c>
      <c r="C33" s="48" t="s">
        <v>171</v>
      </c>
      <c r="D33" s="49">
        <v>42452</v>
      </c>
      <c r="E33" s="49">
        <v>42449</v>
      </c>
      <c r="F33" s="50">
        <f t="shared" si="0"/>
        <v>3</v>
      </c>
    </row>
    <row r="34" spans="2:6">
      <c r="B34" s="47" t="s">
        <v>178</v>
      </c>
      <c r="C34" s="48" t="s">
        <v>172</v>
      </c>
      <c r="D34" s="49">
        <v>42469</v>
      </c>
      <c r="E34" s="49">
        <v>42473</v>
      </c>
      <c r="F34" s="50">
        <f t="shared" si="0"/>
        <v>-4</v>
      </c>
    </row>
    <row r="35" spans="2:6">
      <c r="B35" s="47" t="s">
        <v>179</v>
      </c>
      <c r="C35" s="48" t="s">
        <v>172</v>
      </c>
      <c r="D35" s="49">
        <v>42464</v>
      </c>
      <c r="E35" s="49">
        <v>42464</v>
      </c>
      <c r="F35" s="50">
        <f t="shared" si="0"/>
        <v>0</v>
      </c>
    </row>
    <row r="36" spans="2:6">
      <c r="B36" s="47" t="s">
        <v>180</v>
      </c>
      <c r="C36" s="48" t="s">
        <v>172</v>
      </c>
      <c r="D36" s="49">
        <v>42462</v>
      </c>
      <c r="E36" s="49">
        <v>42462</v>
      </c>
      <c r="F36" s="50">
        <f t="shared" si="0"/>
        <v>0</v>
      </c>
    </row>
    <row r="37" spans="2:6">
      <c r="B37" s="47" t="s">
        <v>178</v>
      </c>
      <c r="C37" s="48" t="s">
        <v>173</v>
      </c>
      <c r="D37" s="49">
        <v>42460</v>
      </c>
      <c r="E37" s="49">
        <v>42465</v>
      </c>
      <c r="F37" s="50">
        <f t="shared" si="0"/>
        <v>-5</v>
      </c>
    </row>
    <row r="38" spans="2:6">
      <c r="B38" s="47" t="s">
        <v>179</v>
      </c>
      <c r="C38" s="48" t="s">
        <v>173</v>
      </c>
      <c r="D38" s="49">
        <v>42457</v>
      </c>
      <c r="E38" s="49">
        <v>42459</v>
      </c>
      <c r="F38" s="50">
        <f t="shared" si="0"/>
        <v>-2</v>
      </c>
    </row>
    <row r="39" spans="2:6">
      <c r="B39" s="47" t="s">
        <v>180</v>
      </c>
      <c r="C39" s="48" t="s">
        <v>173</v>
      </c>
      <c r="D39" s="49">
        <v>42452</v>
      </c>
      <c r="E39" s="49">
        <v>42455</v>
      </c>
      <c r="F39" s="50">
        <f t="shared" si="0"/>
        <v>-3</v>
      </c>
    </row>
  </sheetData>
  <dataConsolidate function="average" topLabels="1">
    <dataRefs count="3">
      <dataRef ref="B3:D18" sheet="차트작업2" r:id="rId1"/>
      <dataRef ref="F3:H18" sheet="차트작업2" r:id="rId2"/>
      <dataRef ref="J3:L18" sheet="차트작업2" r:id="rId3"/>
    </dataRefs>
  </dataConsolidate>
  <phoneticPr fontId="1" type="noConversion"/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7" name="Button 2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2:J19"/>
  <sheetViews>
    <sheetView workbookViewId="0">
      <selection activeCell="L28" sqref="L28"/>
    </sheetView>
  </sheetViews>
  <sheetFormatPr defaultRowHeight="16.5"/>
  <cols>
    <col min="1" max="1" width="3.25" style="15" customWidth="1"/>
    <col min="2" max="2" width="9" style="15"/>
    <col min="3" max="3" width="8" style="15" bestFit="1" customWidth="1"/>
    <col min="4" max="7" width="9" style="15"/>
    <col min="8" max="8" width="9.5" style="15" customWidth="1"/>
    <col min="9" max="9" width="12" style="27" customWidth="1"/>
    <col min="10" max="10" width="9" style="15"/>
    <col min="11" max="16384" width="9" style="1"/>
  </cols>
  <sheetData>
    <row r="2" spans="1:10">
      <c r="B2" s="15" t="s">
        <v>117</v>
      </c>
      <c r="J2" s="1"/>
    </row>
    <row r="3" spans="1:10">
      <c r="B3" s="16" t="s">
        <v>43</v>
      </c>
      <c r="C3" s="16" t="s">
        <v>39</v>
      </c>
      <c r="D3" s="16" t="s">
        <v>34</v>
      </c>
      <c r="E3" s="16" t="s">
        <v>35</v>
      </c>
      <c r="F3" s="16" t="s">
        <v>36</v>
      </c>
      <c r="G3" s="16" t="s">
        <v>116</v>
      </c>
      <c r="J3" s="15" t="s">
        <v>43</v>
      </c>
    </row>
    <row r="4" spans="1:10">
      <c r="B4" s="18"/>
      <c r="C4" s="18"/>
      <c r="D4" s="18"/>
      <c r="E4" s="18"/>
      <c r="F4" s="18"/>
      <c r="G4" s="18"/>
      <c r="J4" s="25" t="s">
        <v>86</v>
      </c>
    </row>
    <row r="5" spans="1:10">
      <c r="B5" s="18"/>
      <c r="C5" s="18"/>
      <c r="D5" s="18"/>
      <c r="E5" s="18"/>
      <c r="F5" s="18"/>
      <c r="G5" s="18"/>
      <c r="J5" s="25" t="s">
        <v>89</v>
      </c>
    </row>
    <row r="6" spans="1:10">
      <c r="B6" s="18"/>
      <c r="C6" s="18"/>
      <c r="D6" s="18"/>
      <c r="E6" s="18"/>
      <c r="F6" s="18"/>
      <c r="G6" s="18"/>
      <c r="J6" s="25" t="s">
        <v>91</v>
      </c>
    </row>
    <row r="7" spans="1:10">
      <c r="B7" s="18"/>
      <c r="C7" s="18"/>
      <c r="D7" s="18"/>
      <c r="E7" s="18"/>
      <c r="F7" s="18"/>
      <c r="G7" s="18"/>
      <c r="J7" s="25" t="s">
        <v>94</v>
      </c>
    </row>
    <row r="8" spans="1:10">
      <c r="B8" s="18"/>
      <c r="C8" s="18"/>
      <c r="D8" s="18"/>
      <c r="E8" s="18"/>
      <c r="F8" s="18"/>
      <c r="G8" s="18"/>
      <c r="J8" s="25" t="s">
        <v>96</v>
      </c>
    </row>
    <row r="9" spans="1:10">
      <c r="B9" s="18"/>
      <c r="C9" s="18"/>
      <c r="D9" s="18"/>
      <c r="E9" s="18"/>
      <c r="F9" s="18"/>
      <c r="G9" s="18"/>
    </row>
    <row r="10" spans="1:10">
      <c r="B10" s="18"/>
      <c r="C10" s="18"/>
      <c r="D10" s="18"/>
      <c r="E10" s="18"/>
      <c r="F10" s="18"/>
      <c r="G10" s="18"/>
    </row>
    <row r="11" spans="1:10">
      <c r="B11" s="18"/>
      <c r="C11" s="18"/>
      <c r="D11" s="18"/>
      <c r="E11" s="18"/>
      <c r="F11" s="18"/>
      <c r="G11" s="18"/>
    </row>
    <row r="12" spans="1:10">
      <c r="B12" s="18"/>
      <c r="C12" s="18"/>
      <c r="D12" s="18"/>
      <c r="E12" s="18"/>
      <c r="F12" s="18"/>
      <c r="G12" s="18"/>
    </row>
    <row r="13" spans="1:10">
      <c r="B13" s="24"/>
      <c r="C13" s="24"/>
      <c r="D13" s="24"/>
      <c r="E13" s="24"/>
      <c r="F13" s="24"/>
      <c r="G13" s="24"/>
    </row>
    <row r="14" spans="1:10">
      <c r="A14" s="17"/>
      <c r="B14" s="17"/>
      <c r="C14" s="17"/>
      <c r="D14" s="17"/>
      <c r="E14" s="17"/>
      <c r="F14" s="17"/>
      <c r="G14" s="17"/>
      <c r="H14" s="17"/>
      <c r="I14" s="28"/>
      <c r="J14" s="17"/>
    </row>
    <row r="15" spans="1:10">
      <c r="A15" s="17"/>
      <c r="B15" s="17"/>
      <c r="C15" s="17"/>
      <c r="D15" s="17"/>
      <c r="E15" s="17"/>
      <c r="F15" s="17"/>
      <c r="G15" s="17"/>
      <c r="H15" s="17"/>
      <c r="I15" s="28"/>
      <c r="J15" s="17"/>
    </row>
    <row r="16" spans="1:10">
      <c r="A16" s="17"/>
      <c r="B16" s="17"/>
      <c r="C16" s="17"/>
      <c r="D16" s="17"/>
      <c r="E16" s="17"/>
      <c r="F16" s="17"/>
      <c r="G16" s="17"/>
      <c r="H16" s="17"/>
      <c r="I16" s="28"/>
      <c r="J16" s="17"/>
    </row>
    <row r="17" spans="1:10">
      <c r="A17" s="17"/>
      <c r="B17" s="17" t="s">
        <v>136</v>
      </c>
      <c r="C17" s="17"/>
      <c r="D17" s="17"/>
      <c r="E17" s="17"/>
      <c r="F17" s="17"/>
      <c r="G17" s="17"/>
      <c r="H17" s="17"/>
      <c r="I17" s="28"/>
      <c r="J17" s="17"/>
    </row>
    <row r="18" spans="1:10">
      <c r="A18" s="17"/>
      <c r="B18" s="17"/>
      <c r="C18" s="17"/>
      <c r="D18" s="17"/>
      <c r="E18" s="17"/>
      <c r="F18" s="17"/>
      <c r="G18" s="17"/>
      <c r="H18" s="17"/>
      <c r="I18" s="28"/>
      <c r="J18" s="17"/>
    </row>
    <row r="19" spans="1:10">
      <c r="A19" s="17"/>
      <c r="B19" s="17"/>
      <c r="C19" s="17"/>
      <c r="D19" s="17"/>
      <c r="E19" s="17"/>
      <c r="F19" s="17"/>
      <c r="G19" s="17"/>
      <c r="H19" s="17"/>
      <c r="I19" s="28"/>
      <c r="J19" s="17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md업적입력">
          <controlPr defaultSize="0" autoLine="0" r:id="rId4">
            <anchor moveWithCells="1">
              <from>
                <xdr:col>8</xdr:col>
                <xdr:colOff>666750</xdr:colOff>
                <xdr:row>9</xdr:row>
                <xdr:rowOff>104775</xdr:rowOff>
              </from>
              <to>
                <xdr:col>10</xdr:col>
                <xdr:colOff>466725</xdr:colOff>
                <xdr:row>12</xdr:row>
                <xdr:rowOff>76200</xdr:rowOff>
              </to>
            </anchor>
          </controlPr>
        </control>
      </mc:Choice>
      <mc:Fallback>
        <control shapeId="3075" r:id="rId3" name="Cmd업적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기본작업-1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ican2</dc:creator>
  <cp:lastModifiedBy>아이티버팀</cp:lastModifiedBy>
  <cp:lastPrinted>2017-05-12T09:23:59Z</cp:lastPrinted>
  <dcterms:created xsi:type="dcterms:W3CDTF">2016-04-11T07:21:32Z</dcterms:created>
  <dcterms:modified xsi:type="dcterms:W3CDTF">2021-04-15T11:26:10Z</dcterms:modified>
</cp:coreProperties>
</file>