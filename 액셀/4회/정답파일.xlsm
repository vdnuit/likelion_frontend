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업로드교재용\컴활1급실기 예제-21년 강의실용3\컴활1급실기 예제\1-2016버전 엑셀\04-엑셀 출제유형분석4회\"/>
    </mc:Choice>
  </mc:AlternateContent>
  <bookViews>
    <workbookView showVerticalScroll="0" xWindow="600" yWindow="60" windowWidth="8685" windowHeight="4755" tabRatio="463" activeTab="6"/>
  </bookViews>
  <sheets>
    <sheet name="기본작업-1" sheetId="2" r:id="rId1"/>
    <sheet name="계산작업" sheetId="3" r:id="rId2"/>
    <sheet name="분석작업-1" sheetId="9" r:id="rId3"/>
    <sheet name="분석작업-2" sheetId="13" r:id="rId4"/>
    <sheet name="기타작업-1" sheetId="10" r:id="rId5"/>
    <sheet name="기타작업-2" sheetId="14" r:id="rId6"/>
    <sheet name="기타작업-3" sheetId="8" r:id="rId7"/>
  </sheets>
  <functionGroups builtInGroupCount="18"/>
  <definedNames>
    <definedName name="_xlnm._FilterDatabase" localSheetId="1" hidden="1">계산작업!$B$23:$G$46</definedName>
    <definedName name="_xlnm._FilterDatabase" localSheetId="0" hidden="1">'기본작업-1'!$B$2:$H$44</definedName>
    <definedName name="_xlnm._FilterDatabase" localSheetId="5" hidden="1">'기타작업-2'!#REF!</definedName>
    <definedName name="_xlnm._FilterDatabase" localSheetId="3" hidden="1">'분석작업-2'!$B$2:$K$18</definedName>
    <definedName name="_xlnm.Criteria" localSheetId="0">'기본작업-1'!$J$2:$L$5</definedName>
    <definedName name="_xlnm.Extract" localSheetId="0">'기본작업-1'!$J$8:$P$8</definedName>
    <definedName name="_xlnm.Print_Titles" localSheetId="0">'기본작업-1'!$2:$2</definedName>
  </definedNames>
  <calcPr calcId="162913"/>
  <pivotCaches>
    <pivotCache cacheId="0" r:id="rId8"/>
  </pivotCaches>
  <extLst>
    <ext xmlns:x15="http://schemas.microsoft.com/office/spreadsheetml/2010/11/main" uri="{FCE2AD5D-F65C-4FA6-A056-5C36A1767C68}">
      <x15:dataModel>
        <x15:modelTables>
          <x15:modelTable id="관리자료" name="관리자료" connection="관리자료"/>
        </x15:modelTables>
      </x15:dataModel>
    </ext>
  </extLst>
</workbook>
</file>

<file path=xl/calcChain.xml><?xml version="1.0" encoding="utf-8"?>
<calcChain xmlns="http://schemas.openxmlformats.org/spreadsheetml/2006/main">
  <c r="R9" i="2" l="1"/>
  <c r="R4" i="2"/>
  <c r="S5" i="2"/>
  <c r="P5" i="2"/>
  <c r="P4" i="2"/>
  <c r="O3" i="2"/>
  <c r="L5" i="2"/>
  <c r="K4" i="2"/>
  <c r="J3" i="2"/>
  <c r="C5" i="14" l="1"/>
  <c r="F3" i="14" s="1"/>
  <c r="G8" i="10" l="1"/>
  <c r="G7" i="10"/>
  <c r="G6" i="10"/>
  <c r="G5" i="10"/>
  <c r="G4" i="10"/>
  <c r="O42" i="3" l="1" a="1"/>
  <c r="O42" i="3" s="1"/>
  <c r="P42" i="3" a="1"/>
  <c r="P42" i="3" s="1"/>
  <c r="O43" i="3" a="1"/>
  <c r="O43" i="3" s="1"/>
  <c r="P43" i="3" a="1"/>
  <c r="P43" i="3" s="1"/>
  <c r="O44" i="3" a="1"/>
  <c r="O44" i="3" s="1"/>
  <c r="P44" i="3" a="1"/>
  <c r="P44" i="3" s="1"/>
  <c r="O45" i="3" a="1"/>
  <c r="O45" i="3" s="1"/>
  <c r="P45" i="3" a="1"/>
  <c r="P45" i="3" s="1"/>
  <c r="N43" i="3" a="1"/>
  <c r="N43" i="3" s="1"/>
  <c r="N44" i="3" a="1"/>
  <c r="N44" i="3" s="1"/>
  <c r="N45" i="3" a="1"/>
  <c r="N45" i="3" s="1"/>
  <c r="N42" i="3" a="1"/>
  <c r="N42" i="3" s="1"/>
  <c r="K42" i="3" a="1"/>
  <c r="K42" i="3" s="1"/>
  <c r="L42" i="3" a="1"/>
  <c r="L42" i="3" s="1"/>
  <c r="K43" i="3" a="1"/>
  <c r="K43" i="3" s="1"/>
  <c r="L43" i="3" a="1"/>
  <c r="L43" i="3" s="1"/>
  <c r="K44" i="3" a="1"/>
  <c r="K44" i="3" s="1"/>
  <c r="L44" i="3" a="1"/>
  <c r="L44" i="3" s="1"/>
  <c r="K45" i="3" a="1"/>
  <c r="K45" i="3" s="1"/>
  <c r="L45" i="3" a="1"/>
  <c r="L45" i="3" s="1"/>
  <c r="J43" i="3" a="1"/>
  <c r="J43" i="3" s="1"/>
  <c r="J44" i="3" a="1"/>
  <c r="J44" i="3" s="1"/>
  <c r="J45" i="3" a="1"/>
  <c r="J45" i="3" s="1"/>
  <c r="J42" i="3" a="1"/>
  <c r="J42" i="3" s="1"/>
  <c r="J32" i="3" a="1"/>
  <c r="J32" i="3" s="1"/>
  <c r="J33" i="3" a="1"/>
  <c r="J33" i="3" s="1"/>
  <c r="J34" i="3" a="1"/>
  <c r="J34" i="3" s="1"/>
  <c r="J31" i="3" a="1"/>
  <c r="J31" i="3" s="1"/>
  <c r="G61" i="3"/>
  <c r="G70" i="3"/>
  <c r="G67" i="3"/>
  <c r="G54" i="3"/>
  <c r="G75" i="3"/>
  <c r="G62" i="3"/>
  <c r="G72" i="3"/>
  <c r="G76" i="3"/>
  <c r="G73" i="3"/>
  <c r="G69" i="3"/>
  <c r="G55" i="3"/>
  <c r="G59" i="3"/>
  <c r="G65" i="3"/>
  <c r="G77" i="3"/>
  <c r="G64" i="3"/>
  <c r="G63" i="3"/>
  <c r="G78" i="3"/>
  <c r="G57" i="3"/>
  <c r="G56" i="3"/>
  <c r="G58" i="3"/>
  <c r="G53" i="3"/>
  <c r="G60" i="3"/>
  <c r="G74" i="3"/>
  <c r="G66" i="3"/>
  <c r="G71" i="3"/>
  <c r="G68" i="3"/>
  <c r="M26" i="3" l="1"/>
  <c r="I26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4" i="3"/>
</calcChain>
</file>

<file path=xl/connections.xml><?xml version="1.0" encoding="utf-8"?>
<connections xmlns="http://schemas.openxmlformats.org/spreadsheetml/2006/main">
  <connection id="1" keepAlive="1" name="ThisWorkbookDataModel" description="데이터 모델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관리자료" type="103" refreshedVersion="6" minRefreshableVersion="5">
    <extLst>
      <ext xmlns:x15="http://schemas.microsoft.com/office/spreadsheetml/2010/11/main" uri="{DE250136-89BD-433C-8126-D09CA5730AF9}">
        <x15:connection id="관리자료" autoDelete="1">
          <x15:textPr prompt="0" codePage="949" sourceFile="C:\Users\아이티버팀목\Desktop\컴활1급실기 예제(작업중)\컴활1급실기 예제-21년 강의실용2\1-2016버전 엑셀\4-출제유형분석4회\관리자료.csv" tab="0" comma="1">
            <textFields count="6">
              <textField/>
              <textField type="skip"/>
              <textField/>
              <textField/>
              <textField/>
              <textField/>
            </textFields>
          </x15:textPr>
          <x15:modelTextPr headers="1"/>
        </x15:connection>
      </ext>
    </extLst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2">
    <s v="ThisWorkbookDataModel"/>
    <s v="{[관리자료].[보험코드].[All]}"/>
  </metadataStrings>
  <mdxMetadata count="1">
    <mdx n="0" f="s">
      <ms ns="1" c="0"/>
    </mdx>
  </mdxMetadata>
  <valueMetadata count="1">
    <bk>
      <rc t="1" v="0"/>
    </bk>
  </valueMetadata>
</metadata>
</file>

<file path=xl/sharedStrings.xml><?xml version="1.0" encoding="utf-8"?>
<sst xmlns="http://schemas.openxmlformats.org/spreadsheetml/2006/main" count="789" uniqueCount="291">
  <si>
    <t>이나영</t>
  </si>
  <si>
    <t>이름</t>
  </si>
  <si>
    <t>이주현</t>
  </si>
  <si>
    <t>가입자명</t>
  </si>
  <si>
    <t>주민등록번호</t>
  </si>
  <si>
    <t>가입년월일</t>
  </si>
  <si>
    <t>보험종류</t>
  </si>
  <si>
    <t>가입지점</t>
    <phoneticPr fontId="2" type="noConversion"/>
  </si>
  <si>
    <t>월불입액</t>
  </si>
  <si>
    <t>보장액</t>
  </si>
  <si>
    <t>국덕근</t>
  </si>
  <si>
    <t>541202-2******</t>
    <phoneticPr fontId="2" type="noConversion"/>
  </si>
  <si>
    <t>연금보험</t>
  </si>
  <si>
    <t>호남</t>
  </si>
  <si>
    <t>김구열</t>
  </si>
  <si>
    <t>630225-1******</t>
    <phoneticPr fontId="2" type="noConversion"/>
  </si>
  <si>
    <t>건강보험</t>
  </si>
  <si>
    <t>김주억</t>
  </si>
  <si>
    <t>601206-1******</t>
    <phoneticPr fontId="2" type="noConversion"/>
  </si>
  <si>
    <t>변액보험</t>
  </si>
  <si>
    <t>영남</t>
  </si>
  <si>
    <t>나연희</t>
  </si>
  <si>
    <t>780308-2******</t>
    <phoneticPr fontId="2" type="noConversion"/>
  </si>
  <si>
    <t>충청</t>
  </si>
  <si>
    <t>명계철</t>
  </si>
  <si>
    <t>780508-1******</t>
    <phoneticPr fontId="2" type="noConversion"/>
  </si>
  <si>
    <t>박창주</t>
  </si>
  <si>
    <t>671120-1******</t>
    <phoneticPr fontId="2" type="noConversion"/>
  </si>
  <si>
    <t>박훈철</t>
  </si>
  <si>
    <t>740121-1******</t>
    <phoneticPr fontId="2" type="noConversion"/>
  </si>
  <si>
    <t>저축보험</t>
    <phoneticPr fontId="2" type="noConversion"/>
  </si>
  <si>
    <t>강원</t>
  </si>
  <si>
    <t>사공철</t>
  </si>
  <si>
    <t>340508-1******</t>
    <phoneticPr fontId="2" type="noConversion"/>
  </si>
  <si>
    <t>송광민</t>
  </si>
  <si>
    <t>701026-1******</t>
    <phoneticPr fontId="2" type="noConversion"/>
  </si>
  <si>
    <t>송광철</t>
  </si>
  <si>
    <t>691023-1******</t>
    <phoneticPr fontId="2" type="noConversion"/>
  </si>
  <si>
    <t>은진희</t>
  </si>
  <si>
    <t>680918-1******</t>
    <phoneticPr fontId="2" type="noConversion"/>
  </si>
  <si>
    <t>장길수</t>
  </si>
  <si>
    <t>670817-1******</t>
    <phoneticPr fontId="2" type="noConversion"/>
  </si>
  <si>
    <t>정태훈</t>
  </si>
  <si>
    <t>771121-1******</t>
    <phoneticPr fontId="2" type="noConversion"/>
  </si>
  <si>
    <t>서울</t>
  </si>
  <si>
    <t>최지현</t>
  </si>
  <si>
    <t>781207-2******</t>
    <phoneticPr fontId="2" type="noConversion"/>
  </si>
  <si>
    <t>오연선</t>
  </si>
  <si>
    <t>권준형</t>
  </si>
  <si>
    <t>조선례</t>
  </si>
  <si>
    <t>조봉진</t>
  </si>
  <si>
    <t>조소현</t>
  </si>
  <si>
    <t>조소연</t>
  </si>
  <si>
    <t>조효영</t>
  </si>
  <si>
    <t>조형선</t>
  </si>
  <si>
    <t>노형택</t>
  </si>
  <si>
    <t>모영선</t>
  </si>
  <si>
    <t>문창현</t>
  </si>
  <si>
    <t>박재연</t>
  </si>
  <si>
    <t>박효진</t>
  </si>
  <si>
    <t>백승은</t>
  </si>
  <si>
    <t>안애형</t>
  </si>
  <si>
    <t>박철언</t>
  </si>
  <si>
    <t>서상형</t>
  </si>
  <si>
    <t>명준형</t>
  </si>
  <si>
    <t>서덕연</t>
  </si>
  <si>
    <t>권은현</t>
  </si>
  <si>
    <t>박선자</t>
  </si>
  <si>
    <t>박선혜</t>
  </si>
  <si>
    <t>오선환</t>
  </si>
  <si>
    <t>방관형</t>
  </si>
  <si>
    <t>김광복</t>
  </si>
  <si>
    <t>전광준</t>
  </si>
  <si>
    <t>조광진</t>
  </si>
  <si>
    <t>조연형</t>
  </si>
  <si>
    <t>번호</t>
    <phoneticPr fontId="2" type="noConversion"/>
  </si>
  <si>
    <t>국어</t>
    <phoneticPr fontId="2" type="noConversion"/>
  </si>
  <si>
    <t>합계</t>
    <phoneticPr fontId="2" type="noConversion"/>
  </si>
  <si>
    <t>단위</t>
    <phoneticPr fontId="2" type="noConversion"/>
  </si>
  <si>
    <t>[표1]</t>
    <phoneticPr fontId="1" type="noConversion"/>
  </si>
  <si>
    <t>영어</t>
    <phoneticPr fontId="2" type="noConversion"/>
  </si>
  <si>
    <t>번호</t>
  </si>
  <si>
    <t>부서명</t>
  </si>
  <si>
    <t>직무수행</t>
  </si>
  <si>
    <t>성실책임</t>
  </si>
  <si>
    <t>기획실</t>
  </si>
  <si>
    <t>방극준</t>
  </si>
  <si>
    <t>이원섭</t>
  </si>
  <si>
    <t>기술부</t>
  </si>
  <si>
    <t>정태은</t>
  </si>
  <si>
    <t>최재석</t>
  </si>
  <si>
    <t>최준기</t>
  </si>
  <si>
    <t>관리부</t>
  </si>
  <si>
    <t>이원형</t>
  </si>
  <si>
    <t>홍지원</t>
  </si>
  <si>
    <t>인사부</t>
  </si>
  <si>
    <t>정은숙</t>
  </si>
  <si>
    <t>김지영</t>
  </si>
  <si>
    <t>박영훈</t>
  </si>
  <si>
    <t>이준성</t>
  </si>
  <si>
    <t>전광일</t>
  </si>
  <si>
    <t>유제관</t>
  </si>
  <si>
    <t>김민영</t>
  </si>
  <si>
    <t>도경민</t>
  </si>
  <si>
    <t>인정제</t>
  </si>
  <si>
    <t>최대훈</t>
  </si>
  <si>
    <t>윤여송</t>
  </si>
  <si>
    <t>유근선</t>
  </si>
  <si>
    <t>[표2]</t>
    <phoneticPr fontId="1" type="noConversion"/>
  </si>
  <si>
    <t>인사부</t>
    <phoneticPr fontId="1" type="noConversion"/>
  </si>
  <si>
    <t>관리부</t>
    <phoneticPr fontId="1" type="noConversion"/>
  </si>
  <si>
    <t>부서가 관리부이거나 기획실인 자료의 수</t>
    <phoneticPr fontId="1" type="noConversion"/>
  </si>
  <si>
    <t>부서명</t>
    <phoneticPr fontId="1" type="noConversion"/>
  </si>
  <si>
    <t>기획실</t>
    <phoneticPr fontId="1" type="noConversion"/>
  </si>
  <si>
    <t>기술부</t>
    <phoneticPr fontId="1" type="noConversion"/>
  </si>
  <si>
    <t>직무수행 평균</t>
    <phoneticPr fontId="1" type="noConversion"/>
  </si>
  <si>
    <t>정환호</t>
  </si>
  <si>
    <t>이응표</t>
  </si>
  <si>
    <t>이지수</t>
  </si>
  <si>
    <t>[표4]</t>
    <phoneticPr fontId="1" type="noConversion"/>
  </si>
  <si>
    <t>직책</t>
    <phoneticPr fontId="1" type="noConversion"/>
  </si>
  <si>
    <t>부장</t>
  </si>
  <si>
    <t>사원</t>
  </si>
  <si>
    <t>외주직원</t>
  </si>
  <si>
    <t>계약직</t>
  </si>
  <si>
    <t>대리</t>
  </si>
  <si>
    <t>임시직</t>
  </si>
  <si>
    <t>기술직</t>
  </si>
  <si>
    <t>부장</t>
    <phoneticPr fontId="1" type="noConversion"/>
  </si>
  <si>
    <t>사원</t>
    <phoneticPr fontId="1" type="noConversion"/>
  </si>
  <si>
    <t>대리</t>
    <phoneticPr fontId="1" type="noConversion"/>
  </si>
  <si>
    <t>성명</t>
    <phoneticPr fontId="2" type="noConversion"/>
  </si>
  <si>
    <t>보험코드</t>
    <phoneticPr fontId="2" type="noConversion"/>
  </si>
  <si>
    <t>지점명</t>
    <phoneticPr fontId="2" type="noConversion"/>
  </si>
  <si>
    <t>보험종류</t>
    <phoneticPr fontId="2" type="noConversion"/>
  </si>
  <si>
    <t>월불입액</t>
    <phoneticPr fontId="2" type="noConversion"/>
  </si>
  <si>
    <t>김철민</t>
  </si>
  <si>
    <t>H001</t>
  </si>
  <si>
    <t>서울</t>
    <phoneticPr fontId="2" type="noConversion"/>
  </si>
  <si>
    <t>건강</t>
  </si>
  <si>
    <t>유아영</t>
  </si>
  <si>
    <t>J001</t>
  </si>
  <si>
    <t>충청</t>
    <phoneticPr fontId="2" type="noConversion"/>
  </si>
  <si>
    <t>상해</t>
  </si>
  <si>
    <t>민순례</t>
  </si>
  <si>
    <t>S001</t>
    <phoneticPr fontId="2" type="noConversion"/>
  </si>
  <si>
    <t>호남</t>
    <phoneticPr fontId="2" type="noConversion"/>
  </si>
  <si>
    <t>저축</t>
  </si>
  <si>
    <t>강원</t>
    <phoneticPr fontId="2" type="noConversion"/>
  </si>
  <si>
    <t>Y001</t>
    <phoneticPr fontId="2" type="noConversion"/>
  </si>
  <si>
    <t>연금</t>
  </si>
  <si>
    <t>오철호</t>
  </si>
  <si>
    <t>영남</t>
    <phoneticPr fontId="2" type="noConversion"/>
  </si>
  <si>
    <t>한부희</t>
  </si>
  <si>
    <t>이기식</t>
  </si>
  <si>
    <t>최민준</t>
  </si>
  <si>
    <t>이소식</t>
  </si>
  <si>
    <t>V001</t>
  </si>
  <si>
    <t>변액</t>
  </si>
  <si>
    <t>우현석</t>
  </si>
  <si>
    <t>정래은</t>
  </si>
  <si>
    <t>김재희</t>
  </si>
  <si>
    <t>선주영</t>
  </si>
  <si>
    <t>김선영</t>
  </si>
  <si>
    <t>[표5]</t>
    <phoneticPr fontId="1" type="noConversion"/>
  </si>
  <si>
    <t>할인율</t>
    <phoneticPr fontId="2" type="noConversion"/>
  </si>
  <si>
    <t>저축성보험</t>
    <phoneticPr fontId="2" type="noConversion"/>
  </si>
  <si>
    <t>건강보험</t>
    <phoneticPr fontId="2" type="noConversion"/>
  </si>
  <si>
    <t>상해보험</t>
    <phoneticPr fontId="2" type="noConversion"/>
  </si>
  <si>
    <t>[표1] 보험종류별 보험 판매 실적</t>
    <phoneticPr fontId="2" type="noConversion"/>
  </si>
  <si>
    <t>유아 방문학습 접수현황</t>
    <phoneticPr fontId="2" type="noConversion"/>
  </si>
  <si>
    <t>학생이름</t>
    <phoneticPr fontId="2" type="noConversion"/>
  </si>
  <si>
    <t>나이</t>
    <phoneticPr fontId="2" type="noConversion"/>
  </si>
  <si>
    <t>수강과목</t>
    <phoneticPr fontId="2" type="noConversion"/>
  </si>
  <si>
    <t>성별</t>
    <phoneticPr fontId="2" type="noConversion"/>
  </si>
  <si>
    <t>선생님</t>
    <phoneticPr fontId="2" type="noConversion"/>
  </si>
  <si>
    <t>학생수</t>
    <phoneticPr fontId="2" type="noConversion"/>
  </si>
  <si>
    <t>경력</t>
    <phoneticPr fontId="2" type="noConversion"/>
  </si>
  <si>
    <t>연락처</t>
    <phoneticPr fontId="2" type="noConversion"/>
  </si>
  <si>
    <t>선생님</t>
    <phoneticPr fontId="2" type="noConversion"/>
  </si>
  <si>
    <t>경력</t>
    <phoneticPr fontId="2" type="noConversion"/>
  </si>
  <si>
    <t>홍길동</t>
  </si>
  <si>
    <t>7</t>
  </si>
  <si>
    <t>한글</t>
  </si>
  <si>
    <t>남</t>
    <phoneticPr fontId="2" type="noConversion"/>
  </si>
  <si>
    <t>최수현</t>
    <phoneticPr fontId="2" type="noConversion"/>
  </si>
  <si>
    <t>010-9523-300*</t>
  </si>
  <si>
    <t>이형석</t>
    <phoneticPr fontId="2" type="noConversion"/>
  </si>
  <si>
    <t>010-2542-152*</t>
    <phoneticPr fontId="2" type="noConversion"/>
  </si>
  <si>
    <t>최수현</t>
    <phoneticPr fontId="2" type="noConversion"/>
  </si>
  <si>
    <t>010-9523-300*</t>
    <phoneticPr fontId="2" type="noConversion"/>
  </si>
  <si>
    <t>성현규</t>
    <phoneticPr fontId="2" type="noConversion"/>
  </si>
  <si>
    <t>010-3512-652*</t>
    <phoneticPr fontId="2" type="noConversion"/>
  </si>
  <si>
    <t>김고수</t>
    <phoneticPr fontId="2" type="noConversion"/>
  </si>
  <si>
    <t>010-2552-582*</t>
    <phoneticPr fontId="2" type="noConversion"/>
  </si>
  <si>
    <t>민병현</t>
    <phoneticPr fontId="2" type="noConversion"/>
  </si>
  <si>
    <t>010-3621-159*</t>
    <phoneticPr fontId="2" type="noConversion"/>
  </si>
  <si>
    <t>김대성</t>
    <phoneticPr fontId="2" type="noConversion"/>
  </si>
  <si>
    <t>010-9526-654*</t>
    <phoneticPr fontId="2" type="noConversion"/>
  </si>
  <si>
    <t>심학철</t>
    <phoneticPr fontId="2" type="noConversion"/>
  </si>
  <si>
    <t>010-5125-226*</t>
    <phoneticPr fontId="2" type="noConversion"/>
  </si>
  <si>
    <t>다른풀이</t>
    <phoneticPr fontId="1" type="noConversion"/>
  </si>
  <si>
    <t>만약 문제에 if가 제시되어 있었다면</t>
    <phoneticPr fontId="1" type="noConversion"/>
  </si>
  <si>
    <t>보험코드</t>
  </si>
  <si>
    <t>총합계</t>
  </si>
  <si>
    <t>상해보험</t>
  </si>
  <si>
    <t>전체 비율</t>
  </si>
  <si>
    <t>비율</t>
  </si>
  <si>
    <t>값</t>
  </si>
  <si>
    <t>[표1]</t>
    <phoneticPr fontId="2" type="noConversion"/>
  </si>
  <si>
    <t>보험코드</t>
    <phoneticPr fontId="2" type="noConversion"/>
  </si>
  <si>
    <t>지점명</t>
    <phoneticPr fontId="2" type="noConversion"/>
  </si>
  <si>
    <t>보험종류</t>
    <phoneticPr fontId="2" type="noConversion"/>
  </si>
  <si>
    <t>불입액</t>
    <phoneticPr fontId="2" type="noConversion"/>
  </si>
  <si>
    <t>강원</t>
    <phoneticPr fontId="2" type="noConversion"/>
  </si>
  <si>
    <t>건강보험</t>
    <phoneticPr fontId="2" type="noConversion"/>
  </si>
  <si>
    <t>변액보험</t>
    <phoneticPr fontId="2" type="noConversion"/>
  </si>
  <si>
    <t>서울</t>
    <phoneticPr fontId="2" type="noConversion"/>
  </si>
  <si>
    <t>서울</t>
    <phoneticPr fontId="2" type="noConversion"/>
  </si>
  <si>
    <t>상해보험</t>
    <phoneticPr fontId="2" type="noConversion"/>
  </si>
  <si>
    <t>Y001</t>
    <phoneticPr fontId="2" type="noConversion"/>
  </si>
  <si>
    <t>연금보험</t>
    <phoneticPr fontId="2" type="noConversion"/>
  </si>
  <si>
    <t>S001</t>
    <phoneticPr fontId="2" type="noConversion"/>
  </si>
  <si>
    <t>저축성보험</t>
    <phoneticPr fontId="2" type="noConversion"/>
  </si>
  <si>
    <t>영남</t>
    <phoneticPr fontId="2" type="noConversion"/>
  </si>
  <si>
    <t>건강보험</t>
    <phoneticPr fontId="2" type="noConversion"/>
  </si>
  <si>
    <t>변액보험</t>
    <phoneticPr fontId="2" type="noConversion"/>
  </si>
  <si>
    <t>충청</t>
    <phoneticPr fontId="2" type="noConversion"/>
  </si>
  <si>
    <t>호남</t>
    <phoneticPr fontId="2" type="noConversion"/>
  </si>
  <si>
    <t>구분</t>
    <phoneticPr fontId="2" type="noConversion"/>
  </si>
  <si>
    <t>서울</t>
    <phoneticPr fontId="2" type="noConversion"/>
  </si>
  <si>
    <t>충청</t>
    <phoneticPr fontId="2" type="noConversion"/>
  </si>
  <si>
    <t>강원</t>
    <phoneticPr fontId="2" type="noConversion"/>
  </si>
  <si>
    <t>영남</t>
    <phoneticPr fontId="2" type="noConversion"/>
  </si>
  <si>
    <t>합계</t>
    <phoneticPr fontId="2" type="noConversion"/>
  </si>
  <si>
    <t>변액보험</t>
    <phoneticPr fontId="2" type="noConversion"/>
  </si>
  <si>
    <t>연금보험</t>
    <phoneticPr fontId="2" type="noConversion"/>
  </si>
  <si>
    <t>학과</t>
    <phoneticPr fontId="2" type="noConversion"/>
  </si>
  <si>
    <t>직급</t>
    <phoneticPr fontId="2" type="noConversion"/>
  </si>
  <si>
    <t>개설강좌</t>
    <phoneticPr fontId="2" type="noConversion"/>
  </si>
  <si>
    <t>초과강의</t>
    <phoneticPr fontId="2" type="noConversion"/>
  </si>
  <si>
    <t>학생지도</t>
    <phoneticPr fontId="2" type="noConversion"/>
  </si>
  <si>
    <t>연구과제</t>
    <phoneticPr fontId="2" type="noConversion"/>
  </si>
  <si>
    <t>연구논문</t>
    <phoneticPr fontId="2" type="noConversion"/>
  </si>
  <si>
    <t>산학협동</t>
    <phoneticPr fontId="2" type="noConversion"/>
  </si>
  <si>
    <t>사회봉사</t>
    <phoneticPr fontId="2" type="noConversion"/>
  </si>
  <si>
    <t>무역학과</t>
    <phoneticPr fontId="2" type="noConversion"/>
  </si>
  <si>
    <t>조교수</t>
    <phoneticPr fontId="2" type="noConversion"/>
  </si>
  <si>
    <t>신경국</t>
    <phoneticPr fontId="2" type="noConversion"/>
  </si>
  <si>
    <t>조상진</t>
    <phoneticPr fontId="2" type="noConversion"/>
  </si>
  <si>
    <t>경제학과</t>
    <phoneticPr fontId="2" type="noConversion"/>
  </si>
  <si>
    <t>정태은</t>
    <phoneticPr fontId="2" type="noConversion"/>
  </si>
  <si>
    <t>부교수</t>
    <phoneticPr fontId="2" type="noConversion"/>
  </si>
  <si>
    <t>방극준</t>
    <phoneticPr fontId="2" type="noConversion"/>
  </si>
  <si>
    <t>황선철</t>
    <phoneticPr fontId="2" type="noConversion"/>
  </si>
  <si>
    <t>비서학과</t>
    <phoneticPr fontId="2" type="noConversion"/>
  </si>
  <si>
    <t>이상봉</t>
    <phoneticPr fontId="2" type="noConversion"/>
  </si>
  <si>
    <t>정은미</t>
    <phoneticPr fontId="2" type="noConversion"/>
  </si>
  <si>
    <t>이나영</t>
    <phoneticPr fontId="2" type="noConversion"/>
  </si>
  <si>
    <t>장기웅</t>
    <phoneticPr fontId="2" type="noConversion"/>
  </si>
  <si>
    <t>한성현</t>
    <phoneticPr fontId="2" type="noConversion"/>
  </si>
  <si>
    <t>경영학과</t>
    <phoneticPr fontId="2" type="noConversion"/>
  </si>
  <si>
    <t>유봉선</t>
    <phoneticPr fontId="2" type="noConversion"/>
  </si>
  <si>
    <t>노창용</t>
    <phoneticPr fontId="2" type="noConversion"/>
  </si>
  <si>
    <t>박태호</t>
    <phoneticPr fontId="2" type="noConversion"/>
  </si>
  <si>
    <t>이기상</t>
    <phoneticPr fontId="2" type="noConversion"/>
  </si>
  <si>
    <t>인정제</t>
    <phoneticPr fontId="2" type="noConversion"/>
  </si>
  <si>
    <t>이원섭</t>
    <phoneticPr fontId="2" type="noConversion"/>
  </si>
  <si>
    <t>이율(년)</t>
    <phoneticPr fontId="2" type="noConversion"/>
  </si>
  <si>
    <t>기간(년)</t>
    <phoneticPr fontId="2" type="noConversion"/>
  </si>
  <si>
    <t>납입액</t>
    <phoneticPr fontId="2" type="noConversion"/>
  </si>
  <si>
    <t>미래가치</t>
    <phoneticPr fontId="2" type="noConversion"/>
  </si>
  <si>
    <t>사장</t>
    <phoneticPr fontId="1" type="noConversion"/>
  </si>
  <si>
    <t>부장</t>
    <phoneticPr fontId="1" type="noConversion"/>
  </si>
  <si>
    <t>대리</t>
    <phoneticPr fontId="1" type="noConversion"/>
  </si>
  <si>
    <t>사원</t>
    <phoneticPr fontId="1" type="noConversion"/>
  </si>
  <si>
    <t>계약직</t>
    <phoneticPr fontId="1" type="noConversion"/>
  </si>
  <si>
    <t>외주직원</t>
    <phoneticPr fontId="1" type="noConversion"/>
  </si>
  <si>
    <t>All</t>
  </si>
  <si>
    <t>합계: 불입액</t>
  </si>
  <si>
    <t>전체 합계: 불입액</t>
  </si>
  <si>
    <t>전체 평균: 불입액</t>
  </si>
  <si>
    <t>평균: 불입액</t>
  </si>
  <si>
    <t>지점명</t>
  </si>
  <si>
    <t>조건1</t>
    <phoneticPr fontId="1" type="noConversion"/>
  </si>
  <si>
    <t>&lt;이 형태도 가능&gt;</t>
    <phoneticPr fontId="1" type="noConversion"/>
  </si>
  <si>
    <t>조건2</t>
    <phoneticPr fontId="1" type="noConversion"/>
  </si>
  <si>
    <t>조건3</t>
    <phoneticPr fontId="1" type="noConversion"/>
  </si>
  <si>
    <t>조건2, 3을 묶은 형태</t>
    <phoneticPr fontId="1" type="noConversion"/>
  </si>
  <si>
    <t>다른 풀이</t>
    <phoneticPr fontId="1" type="noConversion"/>
  </si>
  <si>
    <t>OR(WEEKDAY($D3,2)=6, (WEEKDAY($D3,2)=7,RANK.EQ($G3,$G$3:$G$44)&lt;=5)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</si>
</sst>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6" formatCode="&quot;₩&quot;#,##0;[Red]\-&quot;₩&quot;#,##0"/>
    <numFmt numFmtId="42" formatCode="_-&quot;₩&quot;* #,##0_-;\-&quot;₩&quot;* #,##0_-;_-&quot;₩&quot;* &quot;-&quot;_-;_-@_-"/>
    <numFmt numFmtId="41" formatCode="_-* #,##0_-;\-* #,##0_-;_-* &quot;-&quot;_-;_-@_-"/>
    <numFmt numFmtId="176" formatCode="0_ "/>
    <numFmt numFmtId="177" formatCode="[$-409]mmmmm/yy;@"/>
    <numFmt numFmtId="178" formatCode="_-[$₩-412]* #,##0_-;\-[$₩-412]* #,##0_-;_-[$₩-412]* &quot;-&quot;??_-;_-@_-"/>
    <numFmt numFmtId="179" formatCode="&quot;₩&quot;#,##0;&quot;-₩&quot;#,##0"/>
    <numFmt numFmtId="180" formatCode="#,##0_ "/>
  </numFmts>
  <fonts count="13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</font>
    <font>
      <b/>
      <sz val="11"/>
      <name val="돋움"/>
      <family val="3"/>
      <charset val="129"/>
    </font>
    <font>
      <sz val="16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31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>
      <alignment vertical="center"/>
    </xf>
    <xf numFmtId="0" fontId="5" fillId="0" borderId="0"/>
    <xf numFmtId="9" fontId="5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0" fontId="8" fillId="0" borderId="0"/>
  </cellStyleXfs>
  <cellXfs count="75">
    <xf numFmtId="0" fontId="0" fillId="0" borderId="0" xfId="0">
      <alignment vertical="center"/>
    </xf>
    <xf numFmtId="0" fontId="3" fillId="0" borderId="0" xfId="0" applyFont="1" applyAlignment="1"/>
    <xf numFmtId="0" fontId="3" fillId="0" borderId="0" xfId="0" applyFont="1" applyAlignment="1">
      <alignment horizontal="center"/>
    </xf>
    <xf numFmtId="0" fontId="6" fillId="0" borderId="0" xfId="0" applyFont="1" applyAlignment="1"/>
    <xf numFmtId="0" fontId="6" fillId="0" borderId="0" xfId="0" applyFont="1">
      <alignment vertical="center"/>
    </xf>
    <xf numFmtId="0" fontId="6" fillId="0" borderId="1" xfId="0" applyFont="1" applyBorder="1">
      <alignment vertical="center"/>
    </xf>
    <xf numFmtId="0" fontId="0" fillId="0" borderId="1" xfId="0" applyBorder="1" applyAlignment="1">
      <alignment horizontal="center" vertical="center"/>
    </xf>
    <xf numFmtId="0" fontId="3" fillId="0" borderId="0" xfId="0" applyFont="1" applyFill="1" applyAlignment="1"/>
    <xf numFmtId="0" fontId="6" fillId="0" borderId="0" xfId="0" applyNumberFormat="1" applyFont="1" applyAlignment="1"/>
    <xf numFmtId="177" fontId="6" fillId="0" borderId="0" xfId="0" applyNumberFormat="1" applyFont="1" applyAlignment="1"/>
    <xf numFmtId="41" fontId="6" fillId="0" borderId="0" xfId="3" applyFont="1" applyAlignment="1"/>
    <xf numFmtId="0" fontId="6" fillId="0" borderId="1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Alignment="1">
      <alignment vertical="center"/>
    </xf>
    <xf numFmtId="41" fontId="6" fillId="0" borderId="0" xfId="3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3" borderId="1" xfId="0" applyFont="1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22" fontId="6" fillId="0" borderId="1" xfId="0" applyNumberFormat="1" applyFont="1" applyBorder="1" applyAlignment="1">
      <alignment horizontal="center"/>
    </xf>
    <xf numFmtId="41" fontId="6" fillId="0" borderId="1" xfId="3" applyFont="1" applyBorder="1" applyAlignment="1"/>
    <xf numFmtId="178" fontId="6" fillId="0" borderId="1" xfId="3" applyNumberFormat="1" applyFont="1" applyBorder="1" applyAlignment="1"/>
    <xf numFmtId="0" fontId="9" fillId="0" borderId="1" xfId="4" applyFont="1" applyFill="1" applyBorder="1" applyAlignment="1">
      <alignment horizontal="center" wrapText="1"/>
    </xf>
    <xf numFmtId="179" fontId="9" fillId="0" borderId="1" xfId="4" applyNumberFormat="1" applyFont="1" applyFill="1" applyBorder="1" applyAlignment="1">
      <alignment horizontal="right" wrapText="1"/>
    </xf>
    <xf numFmtId="0" fontId="6" fillId="2" borderId="1" xfId="0" applyFont="1" applyFill="1" applyBorder="1">
      <alignment vertical="center"/>
    </xf>
    <xf numFmtId="0" fontId="6" fillId="2" borderId="1" xfId="0" applyFont="1" applyFill="1" applyBorder="1" applyAlignment="1">
      <alignment horizontal="center" vertical="center"/>
    </xf>
    <xf numFmtId="41" fontId="6" fillId="4" borderId="1" xfId="3" applyFont="1" applyFill="1" applyBorder="1" applyAlignment="1">
      <alignment horizontal="center" vertical="center"/>
    </xf>
    <xf numFmtId="41" fontId="6" fillId="0" borderId="1" xfId="3" applyFont="1" applyBorder="1">
      <alignment vertical="center"/>
    </xf>
    <xf numFmtId="41" fontId="6" fillId="0" borderId="1" xfId="3" applyFont="1" applyFill="1" applyBorder="1">
      <alignment vertical="center"/>
    </xf>
    <xf numFmtId="0" fontId="6" fillId="0" borderId="1" xfId="1" applyFont="1" applyBorder="1" applyAlignment="1">
      <alignment horizontal="center"/>
    </xf>
    <xf numFmtId="0" fontId="3" fillId="0" borderId="1" xfId="0" applyFont="1" applyBorder="1" applyAlignment="1">
      <alignment horizontal="center" vertical="center"/>
    </xf>
    <xf numFmtId="0" fontId="6" fillId="0" borderId="1" xfId="1" applyFont="1" applyBorder="1"/>
    <xf numFmtId="0" fontId="6" fillId="0" borderId="1" xfId="1" applyFont="1" applyFill="1" applyBorder="1" applyAlignment="1">
      <alignment horizontal="center"/>
    </xf>
    <xf numFmtId="0" fontId="6" fillId="0" borderId="1" xfId="1" applyFont="1" applyFill="1" applyBorder="1"/>
    <xf numFmtId="180" fontId="6" fillId="0" borderId="1" xfId="0" applyNumberFormat="1" applyFont="1" applyBorder="1" applyAlignment="1"/>
    <xf numFmtId="176" fontId="6" fillId="0" borderId="1" xfId="0" applyNumberFormat="1" applyFont="1" applyBorder="1" applyAlignment="1"/>
    <xf numFmtId="0" fontId="6" fillId="2" borderId="1" xfId="0" applyFont="1" applyFill="1" applyBorder="1" applyAlignment="1">
      <alignment horizontal="center"/>
    </xf>
    <xf numFmtId="0" fontId="7" fillId="4" borderId="1" xfId="0" applyFont="1" applyFill="1" applyBorder="1" applyAlignment="1">
      <alignment horizontal="center"/>
    </xf>
    <xf numFmtId="0" fontId="6" fillId="0" borderId="1" xfId="0" applyFont="1" applyBorder="1" applyAlignment="1"/>
    <xf numFmtId="0" fontId="10" fillId="0" borderId="1" xfId="0" applyFont="1" applyBorder="1" applyAlignment="1">
      <alignment horizontal="center"/>
    </xf>
    <xf numFmtId="0" fontId="0" fillId="0" borderId="0" xfId="0" applyAlignment="1"/>
    <xf numFmtId="0" fontId="3" fillId="5" borderId="1" xfId="0" applyFont="1" applyFill="1" applyBorder="1" applyAlignment="1">
      <alignment horizontal="center"/>
    </xf>
    <xf numFmtId="0" fontId="3" fillId="0" borderId="1" xfId="0" applyFont="1" applyFill="1" applyBorder="1" applyAlignment="1">
      <alignment horizontal="center"/>
    </xf>
    <xf numFmtId="180" fontId="3" fillId="0" borderId="1" xfId="0" applyNumberFormat="1" applyFont="1" applyBorder="1" applyAlignment="1"/>
    <xf numFmtId="0" fontId="10" fillId="0" borderId="0" xfId="0" applyFont="1" applyAlignment="1"/>
    <xf numFmtId="0" fontId="0" fillId="0" borderId="0" xfId="0" applyBorder="1">
      <alignment vertical="center"/>
    </xf>
    <xf numFmtId="0" fontId="10" fillId="0" borderId="1" xfId="0" applyFont="1" applyBorder="1" applyAlignment="1">
      <alignment horizontal="center" vertical="center"/>
    </xf>
    <xf numFmtId="0" fontId="10" fillId="0" borderId="1" xfId="0" applyFont="1" applyFill="1" applyBorder="1" applyAlignment="1">
      <alignment horizontal="center"/>
    </xf>
    <xf numFmtId="0" fontId="10" fillId="0" borderId="0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6" fillId="0" borderId="1" xfId="0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/>
    </xf>
    <xf numFmtId="0" fontId="3" fillId="0" borderId="0" xfId="0" applyFont="1" applyFill="1" applyBorder="1" applyAlignment="1"/>
    <xf numFmtId="10" fontId="0" fillId="0" borderId="0" xfId="0" applyNumberFormat="1">
      <alignment vertical="center"/>
    </xf>
    <xf numFmtId="42" fontId="0" fillId="0" borderId="0" xfId="0" applyNumberFormat="1">
      <alignment vertical="center"/>
    </xf>
    <xf numFmtId="14" fontId="0" fillId="0" borderId="0" xfId="0" applyNumberFormat="1">
      <alignment vertical="center"/>
    </xf>
    <xf numFmtId="0" fontId="0" fillId="0" borderId="1" xfId="0" applyBorder="1" applyAlignment="1">
      <alignment horizontal="center" vertical="center"/>
    </xf>
    <xf numFmtId="41" fontId="5" fillId="0" borderId="1" xfId="3" applyFont="1" applyBorder="1" applyAlignment="1">
      <alignment horizontal="center" vertical="center"/>
    </xf>
    <xf numFmtId="10" fontId="5" fillId="0" borderId="1" xfId="3" applyNumberFormat="1" applyFont="1" applyBorder="1" applyAlignment="1"/>
    <xf numFmtId="41" fontId="5" fillId="0" borderId="1" xfId="3" applyFont="1" applyBorder="1" applyAlignment="1"/>
    <xf numFmtId="9" fontId="0" fillId="0" borderId="1" xfId="0" applyNumberFormat="1" applyBorder="1" applyAlignment="1">
      <alignment horizontal="center" vertical="center"/>
    </xf>
    <xf numFmtId="42" fontId="6" fillId="0" borderId="1" xfId="3" applyNumberFormat="1" applyFont="1" applyBorder="1" applyAlignment="1"/>
    <xf numFmtId="0" fontId="10" fillId="4" borderId="1" xfId="0" applyFont="1" applyFill="1" applyBorder="1" applyAlignment="1">
      <alignment horizontal="center"/>
    </xf>
    <xf numFmtId="6" fontId="5" fillId="0" borderId="1" xfId="3" applyNumberFormat="1" applyFont="1" applyBorder="1" applyAlignment="1"/>
    <xf numFmtId="42" fontId="3" fillId="0" borderId="1" xfId="0" applyNumberFormat="1" applyFont="1" applyBorder="1">
      <alignment vertical="center"/>
    </xf>
    <xf numFmtId="6" fontId="0" fillId="0" borderId="0" xfId="0" applyNumberFormat="1" applyAlignment="1">
      <alignment horizontal="center" vertical="center"/>
    </xf>
    <xf numFmtId="0" fontId="0" fillId="0" borderId="0" xfId="0" pivotButton="1">
      <alignment vertical="center"/>
    </xf>
    <xf numFmtId="0" fontId="6" fillId="2" borderId="3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41" fontId="6" fillId="2" borderId="5" xfId="3" applyFont="1" applyFill="1" applyBorder="1" applyAlignment="1">
      <alignment horizontal="left"/>
    </xf>
    <xf numFmtId="41" fontId="6" fillId="2" borderId="6" xfId="3" applyFont="1" applyFill="1" applyBorder="1" applyAlignment="1">
      <alignment horizontal="left"/>
    </xf>
    <xf numFmtId="41" fontId="6" fillId="2" borderId="7" xfId="3" applyFont="1" applyFill="1" applyBorder="1" applyAlignment="1">
      <alignment horizontal="left"/>
    </xf>
    <xf numFmtId="41" fontId="6" fillId="0" borderId="1" xfId="3" applyFont="1" applyBorder="1" applyAlignment="1">
      <alignment horizontal="center"/>
    </xf>
    <xf numFmtId="0" fontId="11" fillId="0" borderId="0" xfId="0" applyFont="1" applyBorder="1" applyAlignment="1">
      <alignment horizontal="center"/>
    </xf>
    <xf numFmtId="0" fontId="0" fillId="0" borderId="1" xfId="0" applyBorder="1" applyAlignment="1">
      <alignment horizontal="center" vertical="center"/>
    </xf>
  </cellXfs>
  <cellStyles count="5">
    <cellStyle name="백분율 2" xfId="2"/>
    <cellStyle name="쉼표 [0]" xfId="3" builtinId="6"/>
    <cellStyle name="표준" xfId="0" builtinId="0"/>
    <cellStyle name="표준 2" xfId="1"/>
    <cellStyle name="표준_기본작업-2" xfId="4"/>
  </cellStyles>
  <dxfs count="1">
    <dxf>
      <font>
        <u val="double"/>
        <color theme="3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powerPivotData" Target="model/item.data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ko-KR"/>
              <a:t>강원도와 전체 지역의 보험 종류 분석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'기타작업-1'!$G$3</c:f>
              <c:strCache>
                <c:ptCount val="1"/>
                <c:pt idx="0">
                  <c:v>합계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4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>
                <a:noFill/>
              </a:ln>
              <a:effectLst/>
            </c:spPr>
            <c:pictureOptions>
              <c:pictureFormat val="stack"/>
            </c:pictureOptions>
            <c:extLst>
              <c:ext xmlns:c16="http://schemas.microsoft.com/office/drawing/2014/chart" uri="{C3380CC4-5D6E-409C-BE32-E72D297353CC}">
                <c16:uniqueId val="{00000001-1B68-4B80-843A-9F1A2569FEAA}"/>
              </c:ext>
            </c:extLst>
          </c:dPt>
          <c:cat>
            <c:strRef>
              <c:f>'기타작업-1'!$B$4:$B$8</c:f>
              <c:strCache>
                <c:ptCount val="5"/>
                <c:pt idx="0">
                  <c:v>건강보험</c:v>
                </c:pt>
                <c:pt idx="1">
                  <c:v>변액보험</c:v>
                </c:pt>
                <c:pt idx="2">
                  <c:v>상해보험</c:v>
                </c:pt>
                <c:pt idx="3">
                  <c:v>연금보험</c:v>
                </c:pt>
                <c:pt idx="4">
                  <c:v>저축성보험</c:v>
                </c:pt>
              </c:strCache>
            </c:strRef>
          </c:cat>
          <c:val>
            <c:numRef>
              <c:f>'기타작업-1'!$G$4:$G$8</c:f>
              <c:numCache>
                <c:formatCode>#,##0_ </c:formatCode>
                <c:ptCount val="5"/>
                <c:pt idx="0">
                  <c:v>558000</c:v>
                </c:pt>
                <c:pt idx="1">
                  <c:v>1580000</c:v>
                </c:pt>
                <c:pt idx="2">
                  <c:v>190000</c:v>
                </c:pt>
                <c:pt idx="3">
                  <c:v>1150000</c:v>
                </c:pt>
                <c:pt idx="4">
                  <c:v>1440000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B68-4B80-843A-9F1A2569F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axId val="2002866879"/>
        <c:axId val="2011494255"/>
      </c:barChart>
      <c:lineChart>
        <c:grouping val="standard"/>
        <c:varyColors val="0"/>
        <c:ser>
          <c:idx val="0"/>
          <c:order val="0"/>
          <c:tx>
            <c:strRef>
              <c:f>'기타작업-1'!$E$3</c:f>
              <c:strCache>
                <c:ptCount val="1"/>
                <c:pt idx="0">
                  <c:v>강원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1"/>
                </a:solidFill>
                <a:round/>
              </a:ln>
              <a:effectLst/>
            </c:spPr>
          </c:marker>
          <c:cat>
            <c:strRef>
              <c:f>'기타작업-1'!$B$4:$B$8</c:f>
              <c:strCache>
                <c:ptCount val="5"/>
                <c:pt idx="0">
                  <c:v>건강보험</c:v>
                </c:pt>
                <c:pt idx="1">
                  <c:v>변액보험</c:v>
                </c:pt>
                <c:pt idx="2">
                  <c:v>상해보험</c:v>
                </c:pt>
                <c:pt idx="3">
                  <c:v>연금보험</c:v>
                </c:pt>
                <c:pt idx="4">
                  <c:v>저축성보험</c:v>
                </c:pt>
              </c:strCache>
            </c:strRef>
          </c:cat>
          <c:val>
            <c:numRef>
              <c:f>'기타작업-1'!$E$4:$E$8</c:f>
              <c:numCache>
                <c:formatCode>#,##0_ </c:formatCode>
                <c:ptCount val="5"/>
                <c:pt idx="0">
                  <c:v>35000</c:v>
                </c:pt>
                <c:pt idx="1">
                  <c:v>350000</c:v>
                </c:pt>
                <c:pt idx="2">
                  <c:v>0</c:v>
                </c:pt>
                <c:pt idx="3">
                  <c:v>0</c:v>
                </c:pt>
                <c:pt idx="4">
                  <c:v>30000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B68-4B80-843A-9F1A2569F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16468847"/>
        <c:axId val="2016469263"/>
      </c:lineChart>
      <c:catAx>
        <c:axId val="20164688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016469263"/>
        <c:crosses val="autoZero"/>
        <c:auto val="1"/>
        <c:lblAlgn val="ctr"/>
        <c:lblOffset val="100"/>
        <c:noMultiLvlLbl val="0"/>
      </c:catAx>
      <c:valAx>
        <c:axId val="2016469263"/>
        <c:scaling>
          <c:orientation val="minMax"/>
          <c:max val="4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eaVert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/>
                  <a:t>보험료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eaVert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#,##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016468847"/>
        <c:crosses val="autoZero"/>
        <c:crossBetween val="between"/>
        <c:majorUnit val="100000"/>
      </c:valAx>
      <c:valAx>
        <c:axId val="2011494255"/>
        <c:scaling>
          <c:orientation val="minMax"/>
        </c:scaling>
        <c:delete val="0"/>
        <c:axPos val="r"/>
        <c:numFmt formatCode="#,##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002866879"/>
        <c:crosses val="max"/>
        <c:crossBetween val="between"/>
      </c:valAx>
      <c:catAx>
        <c:axId val="200286687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11494255"/>
        <c:crossesAt val="500000"/>
        <c:auto val="1"/>
        <c:lblAlgn val="ctr"/>
        <c:lblOffset val="100"/>
        <c:noMultiLvlLbl val="0"/>
      </c:cat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714375</xdr:colOff>
      <xdr:row>3</xdr:row>
      <xdr:rowOff>0</xdr:rowOff>
    </xdr:from>
    <xdr:to>
      <xdr:col>9</xdr:col>
      <xdr:colOff>657225</xdr:colOff>
      <xdr:row>5</xdr:row>
      <xdr:rowOff>133350</xdr:rowOff>
    </xdr:to>
    <xdr:sp macro="" textlink="">
      <xdr:nvSpPr>
        <xdr:cNvPr id="2" name="웃는 얼굴 5"/>
        <xdr:cNvSpPr>
          <a:spLocks noChangeArrowheads="1"/>
        </xdr:cNvSpPr>
      </xdr:nvSpPr>
      <xdr:spPr bwMode="auto">
        <a:xfrm>
          <a:off x="6838950" y="752475"/>
          <a:ext cx="657225" cy="552450"/>
        </a:xfrm>
        <a:prstGeom prst="smileyFace">
          <a:avLst>
            <a:gd name="adj" fmla="val 4653"/>
          </a:avLst>
        </a:prstGeom>
        <a:solidFill>
          <a:srgbClr val="CCC1DA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600074</xdr:colOff>
      <xdr:row>9</xdr:row>
      <xdr:rowOff>0</xdr:rowOff>
    </xdr:from>
    <xdr:to>
      <xdr:col>8</xdr:col>
      <xdr:colOff>685799</xdr:colOff>
      <xdr:row>24</xdr:row>
      <xdr:rowOff>0</xdr:rowOff>
    </xdr:to>
    <xdr:graphicFrame macro="">
      <xdr:nvGraphicFramePr>
        <xdr:cNvPr id="3" name="차트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7</xdr:row>
      <xdr:rowOff>0</xdr:rowOff>
    </xdr:from>
    <xdr:to>
      <xdr:col>3</xdr:col>
      <xdr:colOff>0</xdr:colOff>
      <xdr:row>9</xdr:row>
      <xdr:rowOff>0</xdr:rowOff>
    </xdr:to>
    <xdr:sp macro="[0]!미래가치" textlink="">
      <xdr:nvSpPr>
        <xdr:cNvPr id="2" name="모서리가 둥근 직사각형 1"/>
        <xdr:cNvSpPr/>
      </xdr:nvSpPr>
      <xdr:spPr>
        <a:xfrm>
          <a:off x="685800" y="1466850"/>
          <a:ext cx="1695450" cy="419100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미래가치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26</xdr:row>
          <xdr:rowOff>0</xdr:rowOff>
        </xdr:from>
        <xdr:to>
          <xdr:col>4</xdr:col>
          <xdr:colOff>0</xdr:colOff>
          <xdr:row>28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색상처리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504825</xdr:colOff>
          <xdr:row>0</xdr:row>
          <xdr:rowOff>66675</xdr:rowOff>
        </xdr:from>
        <xdr:to>
          <xdr:col>8</xdr:col>
          <xdr:colOff>942975</xdr:colOff>
          <xdr:row>2</xdr:row>
          <xdr:rowOff>9525</xdr:rowOff>
        </xdr:to>
        <xdr:sp macro="" textlink="">
          <xdr:nvSpPr>
            <xdr:cNvPr id="3078" name="Cmd접수하기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icam" refreshedDate="44154.706277199075" backgroundQuery="1" createdVersion="6" refreshedVersion="6" minRefreshableVersion="3" recordCount="0" supportSubquery="1" supportAdvancedDrill="1">
  <cacheSource type="external" connectionId="1"/>
  <cacheFields count="6">
    <cacheField name="[관리자료].[보험코드].[보험코드]" caption="보험코드" numFmtId="0" hierarchy="1" level="1">
      <sharedItems containsSemiMixedTypes="0" containsNonDate="0" containsString="0"/>
    </cacheField>
    <cacheField name="[관리자료].[지점명].[지점명]" caption="지점명" numFmtId="0" hierarchy="2" level="1">
      <sharedItems count="5">
        <s v="강원"/>
        <s v="서울"/>
        <s v="영남"/>
        <s v="충청"/>
        <s v="호남"/>
      </sharedItems>
    </cacheField>
    <cacheField name="[관리자료].[보험종류].[보험종류]" caption="보험종류" numFmtId="0" hierarchy="3" level="1">
      <sharedItems count="3">
        <s v="건강보험"/>
        <s v="변액보험"/>
        <s v="상해보험"/>
      </sharedItems>
    </cacheField>
    <cacheField name="[Measures].[합계: 불입액]" caption="합계: 불입액" numFmtId="0" hierarchy="7" level="32767"/>
    <cacheField name="[Measures].[평균: 불입액]" caption="평균: 불입액" numFmtId="0" hierarchy="8" level="32767"/>
    <cacheField name="Dummy0" numFmtId="0" hierarchy="9" level="32767">
      <extLst>
        <ext xmlns:x14="http://schemas.microsoft.com/office/spreadsheetml/2009/9/main" uri="{63CAB8AC-B538-458d-9737-405883B0398D}">
          <x14:cacheField ignore="1"/>
        </ext>
      </extLst>
    </cacheField>
  </cacheFields>
  <cacheHierarchies count="10">
    <cacheHierarchy uniqueName="[관리자료].[성명]" caption="성명" attribute="1" defaultMemberUniqueName="[관리자료].[성명].[All]" allUniqueName="[관리자료].[성명].[All]" dimensionUniqueName="[관리자료]" displayFolder="" count="0" memberValueDatatype="130" unbalanced="0"/>
    <cacheHierarchy uniqueName="[관리자료].[보험코드]" caption="보험코드" attribute="1" defaultMemberUniqueName="[관리자료].[보험코드].[All]" allUniqueName="[관리자료].[보험코드].[All]" dimensionUniqueName="[관리자료]" displayFolder="" count="2" memberValueDatatype="130" unbalanced="0">
      <fieldsUsage count="2">
        <fieldUsage x="-1"/>
        <fieldUsage x="0"/>
      </fieldsUsage>
    </cacheHierarchy>
    <cacheHierarchy uniqueName="[관리자료].[지점명]" caption="지점명" attribute="1" defaultMemberUniqueName="[관리자료].[지점명].[All]" allUniqueName="[관리자료].[지점명].[All]" dimensionUniqueName="[관리자료]" displayFolder="" count="2" memberValueDatatype="130" unbalanced="0">
      <fieldsUsage count="2">
        <fieldUsage x="-1"/>
        <fieldUsage x="1"/>
      </fieldsUsage>
    </cacheHierarchy>
    <cacheHierarchy uniqueName="[관리자료].[보험종류]" caption="보험종류" attribute="1" defaultMemberUniqueName="[관리자료].[보험종류].[All]" allUniqueName="[관리자료].[보험종류].[All]" dimensionUniqueName="[관리자료]" displayFolder="" count="2" memberValueDatatype="130" unbalanced="0">
      <fieldsUsage count="2">
        <fieldUsage x="-1"/>
        <fieldUsage x="2"/>
      </fieldsUsage>
    </cacheHierarchy>
    <cacheHierarchy uniqueName="[관리자료].[불입액]" caption="불입액" attribute="1" defaultMemberUniqueName="[관리자료].[불입액].[All]" allUniqueName="[관리자료].[불입액].[All]" dimensionUniqueName="[관리자료]" displayFolder="" count="0" memberValueDatatype="20" unbalanced="0"/>
    <cacheHierarchy uniqueName="[Measures].[__XL_Count 관리자료]" caption="__XL_Count 관리자료" measure="1" displayFolder="" measureGroup="관리자료" count="0" hidden="1"/>
    <cacheHierarchy uniqueName="[Measures].[__No measures defined]" caption="__No measures defined" measure="1" displayFolder="" count="0" hidden="1"/>
    <cacheHierarchy uniqueName="[Measures].[합계: 불입액]" caption="합계: 불입액" measure="1" displayFolder="" measureGroup="관리자료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평균: 불입액]" caption="평균: 불입액" measure="1" displayFolder="" measureGroup="관리자료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Dummy0" caption="성명" measure="1" count="0">
      <extLst>
        <ext xmlns:x14="http://schemas.microsoft.com/office/spreadsheetml/2009/9/main" uri="{8CF416AD-EC4C-4aba-99F5-12A058AE0983}">
          <x14:cacheHierarchy ignore="1"/>
        </ext>
      </extLst>
    </cacheHierarchy>
  </cacheHierarchies>
  <kpis count="0"/>
  <dimensions count="2">
    <dimension measure="1" name="Measures" uniqueName="[Measures]" caption="Measures"/>
    <dimension name="관리자료" uniqueName="[관리자료]" caption="관리자료"/>
  </dimensions>
  <measureGroups count="1">
    <measureGroup name="관리자료" caption="관리자료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피벗 테이블1" cacheId="0" dataOnRows="1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compact="0" outline="1" outlineData="1" compactData="0" multipleFieldFilters="0">
  <location ref="H5:M34" firstHeaderRow="1" firstDataRow="2" firstDataCol="2" rowPageCount="1" colPageCount="1"/>
  <pivotFields count="6">
    <pivotField axis="axisPage" compact="0" allDrilled="1" showAll="0" insertBlankRow="1" dataSourceSort="1" defaultAttributeDrillState="1">
      <items count="1">
        <item t="default"/>
      </items>
    </pivotField>
    <pivotField axis="axisRow" compact="0" allDrilled="1" showAll="0" insertBlankRow="1" dataSourceSort="1" defaultAttributeDrillState="1">
      <items count="6">
        <item x="0"/>
        <item x="1"/>
        <item x="2"/>
        <item x="3"/>
        <item x="4"/>
        <item t="default"/>
      </items>
    </pivotField>
    <pivotField axis="axisCol" compact="0" allDrilled="1" showAll="0" insertBlankRow="1" dataSourceSort="1" defaultAttributeDrillState="1">
      <items count="4">
        <item s="1" x="0"/>
        <item s="1" x="1"/>
        <item s="1" x="2"/>
        <item t="default"/>
      </items>
    </pivotField>
    <pivotField dataField="1" compact="0" showAll="0"/>
    <pivotField dataField="1" compact="0" showAll="0"/>
    <pivotField dataField="1" compact="0" outline="0" subtotalTop="0" dragToRow="0" dragToCol="0" dragToPage="0" dragToData="0" dragOff="0" showAll="0" topAutoShow="0" includeNewItemsInFilter="1" itemPageCount="0" rankBy="0" defaultSubtotal="0">
      <extLst>
        <ext xmlns:x14="http://schemas.microsoft.com/office/spreadsheetml/2009/9/main" uri="{2946ED86-A175-432a-8AC1-64E0C546D7DE}">
          <x14:pivotField ignore="1"/>
        </ext>
      </extLst>
    </pivotField>
  </pivotFields>
  <rowFields count="2">
    <field x="1"/>
    <field x="-2"/>
  </rowFields>
  <rowItems count="28">
    <i>
      <x/>
    </i>
    <i r="1">
      <x/>
    </i>
    <i r="1" i="1">
      <x v="1"/>
    </i>
    <i r="1" i="2">
      <x v="2"/>
    </i>
    <i t="blank">
      <x/>
    </i>
    <i>
      <x v="1"/>
    </i>
    <i r="1">
      <x/>
    </i>
    <i r="1" i="1">
      <x v="1"/>
    </i>
    <i r="1" i="2">
      <x v="2"/>
    </i>
    <i t="blank">
      <x v="1"/>
    </i>
    <i>
      <x v="2"/>
    </i>
    <i r="1">
      <x/>
    </i>
    <i r="1" i="1">
      <x v="1"/>
    </i>
    <i r="1" i="2">
      <x v="2"/>
    </i>
    <i t="blank">
      <x v="2"/>
    </i>
    <i>
      <x v="3"/>
    </i>
    <i r="1">
      <x/>
    </i>
    <i r="1" i="1">
      <x v="1"/>
    </i>
    <i r="1" i="2">
      <x v="2"/>
    </i>
    <i t="blank">
      <x v="3"/>
    </i>
    <i>
      <x v="4"/>
    </i>
    <i r="1">
      <x/>
    </i>
    <i r="1" i="1">
      <x v="1"/>
    </i>
    <i r="1" i="2">
      <x v="2"/>
    </i>
    <i t="blank">
      <x v="4"/>
    </i>
    <i t="grand">
      <x/>
    </i>
    <i t="grand" i="1">
      <x/>
    </i>
    <i t="grand" i="2">
      <x/>
    </i>
  </rowItems>
  <colFields count="1">
    <field x="2"/>
  </colFields>
  <colItems count="4">
    <i>
      <x/>
    </i>
    <i>
      <x v="1"/>
    </i>
    <i>
      <x v="2"/>
    </i>
    <i t="grand">
      <x/>
    </i>
  </colItems>
  <pageFields count="1">
    <pageField fld="0" hier="1" name="[관리자료].[보험코드].[All]" cap="All"/>
  </pageFields>
  <dataFields count="3">
    <dataField name="합계: 불입액" fld="3" baseField="1" baseItem="0" numFmtId="42"/>
    <dataField name="평균: 불입액" fld="4" subtotal="average" baseField="1" baseItem="0" numFmtId="42"/>
    <dataField name="비율" fld="5" showDataAs="percentOfCol" baseField="1" baseItem="0" numFmtId="10">
      <extLst>
        <ext xmlns:x14="http://schemas.microsoft.com/office/spreadsheetml/2009/9/main" uri="{E15A36E0-9728-4e99-A89B-3F7291B0FE68}">
          <x14:dataField sourceField="3" uniqueName="[__Xl2].[Measures].[합계: 불입액]"/>
        </ext>
      </extLst>
    </dataField>
  </dataFields>
  <pivotHierarchies count="10"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 caption="비율"/>
    <pivotHierarchy dragToData="1" caption="평균: 불입액"/>
    <pivotHierarchy dragToRow="0" dragToCol="0" dragToPage="0" dragToData="1" dragOff="0" includeNewItemsInFilter="1">
      <extLst>
        <ext xmlns:x14="http://schemas.microsoft.com/office/spreadsheetml/2009/9/main" uri="{F1805F06-0CD3-4483-9156-8803C3D141DF}">
          <x14:pivotHierarchy ignore="1"/>
        </ext>
      </extLst>
    </pivotHierarchy>
  </pivotHierarchies>
  <pivotTableStyleInfo name="PivotStyleMedium5" showRowHeaders="1" showColHeaders="1" showRowStripes="0" showColStripes="0" showLastColumn="1"/>
  <rowHierarchiesUsage count="2">
    <rowHierarchyUsage hierarchyUsage="2"/>
    <rowHierarchyUsage hierarchyUsage="-2"/>
  </rowHierarchiesUsage>
  <colHierarchiesUsage count="1">
    <colHierarchyUsage hierarchyUsage="3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관리자료">
        <x15:activeTabTopLevelEntity name="[관리자료]"/>
      </x15:pivotTableUISettings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image" Target="../media/image2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190"/>
  <sheetViews>
    <sheetView workbookViewId="0">
      <selection activeCell="M22" sqref="M22"/>
    </sheetView>
  </sheetViews>
  <sheetFormatPr defaultRowHeight="16.5"/>
  <cols>
    <col min="1" max="1" width="2.625" style="2" customWidth="1"/>
    <col min="2" max="2" width="9.25" style="1" customWidth="1"/>
    <col min="3" max="3" width="14.125" style="1" bestFit="1" customWidth="1"/>
    <col min="4" max="4" width="16.25" style="7" customWidth="1"/>
    <col min="5" max="5" width="10.375" style="7" customWidth="1"/>
    <col min="6" max="6" width="9.375" style="7" customWidth="1"/>
    <col min="7" max="7" width="10.25" style="7" customWidth="1"/>
    <col min="8" max="8" width="16" style="7" customWidth="1"/>
    <col min="9" max="9" width="9" style="7" customWidth="1"/>
    <col min="10" max="10" width="9" style="1" customWidth="1"/>
    <col min="11" max="11" width="14.125" style="1" customWidth="1"/>
    <col min="12" max="12" width="15.5" style="1" customWidth="1"/>
    <col min="13" max="14" width="9" style="1" customWidth="1"/>
    <col min="15" max="15" width="17.5" style="1" customWidth="1"/>
    <col min="16" max="16" width="16.125" style="1" customWidth="1"/>
    <col min="17" max="19" width="9" style="1" customWidth="1"/>
    <col min="20" max="16384" width="9" style="1"/>
  </cols>
  <sheetData>
    <row r="1" spans="2:20">
      <c r="O1" s="1" t="s">
        <v>285</v>
      </c>
    </row>
    <row r="2" spans="2:20">
      <c r="B2" s="16" t="s">
        <v>3</v>
      </c>
      <c r="C2" s="16" t="s">
        <v>4</v>
      </c>
      <c r="D2" s="16" t="s">
        <v>5</v>
      </c>
      <c r="E2" s="16" t="s">
        <v>6</v>
      </c>
      <c r="F2" s="16" t="s">
        <v>7</v>
      </c>
      <c r="G2" s="16" t="s">
        <v>8</v>
      </c>
      <c r="H2" s="16" t="s">
        <v>9</v>
      </c>
      <c r="J2" s="51" t="s">
        <v>284</v>
      </c>
      <c r="K2" s="16" t="s">
        <v>8</v>
      </c>
      <c r="L2" s="16" t="s">
        <v>8</v>
      </c>
      <c r="O2" s="51" t="s">
        <v>284</v>
      </c>
      <c r="P2" s="16" t="s">
        <v>8</v>
      </c>
      <c r="R2" s="1" t="s">
        <v>286</v>
      </c>
      <c r="S2" s="52" t="s">
        <v>287</v>
      </c>
    </row>
    <row r="3" spans="2:20">
      <c r="B3" s="17" t="s">
        <v>10</v>
      </c>
      <c r="C3" s="17" t="s">
        <v>11</v>
      </c>
      <c r="D3" s="18">
        <v>36633</v>
      </c>
      <c r="E3" s="17" t="s">
        <v>12</v>
      </c>
      <c r="F3" s="17" t="s">
        <v>13</v>
      </c>
      <c r="G3" s="19">
        <v>140000</v>
      </c>
      <c r="H3" s="20">
        <v>500000000</v>
      </c>
      <c r="J3" s="1" t="b">
        <f>LEFT(C3,1)&lt;"3"</f>
        <v>0</v>
      </c>
      <c r="O3" s="1" t="b">
        <f>LEFT(H3,1)&lt;"3"</f>
        <v>0</v>
      </c>
    </row>
    <row r="4" spans="2:20">
      <c r="B4" s="17" t="s">
        <v>14</v>
      </c>
      <c r="C4" s="17" t="s">
        <v>15</v>
      </c>
      <c r="D4" s="18">
        <v>36284</v>
      </c>
      <c r="E4" s="17" t="s">
        <v>16</v>
      </c>
      <c r="F4" s="17" t="s">
        <v>13</v>
      </c>
      <c r="G4" s="19">
        <v>189000</v>
      </c>
      <c r="H4" s="20">
        <v>230000000</v>
      </c>
      <c r="K4" s="1" t="str">
        <f>"&gt;="&amp;LARGE($G$3:$G$44,3)</f>
        <v>&gt;=520000</v>
      </c>
      <c r="P4" s="1" t="str">
        <f>"&gt;="&amp;LARGE($G$3:$G$44,3)</f>
        <v>&gt;=520000</v>
      </c>
      <c r="R4" s="1" t="b">
        <f>G3&gt;=LARGE($G$3:$G$44,3)</f>
        <v>0</v>
      </c>
    </row>
    <row r="5" spans="2:20">
      <c r="B5" s="17" t="s">
        <v>17</v>
      </c>
      <c r="C5" s="17" t="s">
        <v>18</v>
      </c>
      <c r="D5" s="18">
        <v>37224</v>
      </c>
      <c r="E5" s="17" t="s">
        <v>19</v>
      </c>
      <c r="F5" s="17" t="s">
        <v>20</v>
      </c>
      <c r="G5" s="19">
        <v>700000</v>
      </c>
      <c r="H5" s="20">
        <v>2000000000</v>
      </c>
      <c r="L5" s="1" t="str">
        <f>"&lt;="&amp;SMALL($G$3:$G$44,3)</f>
        <v>&lt;=15000</v>
      </c>
      <c r="P5" s="1" t="str">
        <f>"&lt;="&amp;SMALL($G$3:$G$44,3)</f>
        <v>&lt;=15000</v>
      </c>
      <c r="S5" s="1" t="b">
        <f>G3&lt;=SMALL($G$3:$G$44,3)</f>
        <v>0</v>
      </c>
    </row>
    <row r="6" spans="2:20">
      <c r="B6" s="17" t="s">
        <v>21</v>
      </c>
      <c r="C6" s="17" t="s">
        <v>22</v>
      </c>
      <c r="D6" s="18">
        <v>36503</v>
      </c>
      <c r="E6" s="17" t="s">
        <v>16</v>
      </c>
      <c r="F6" s="17" t="s">
        <v>23</v>
      </c>
      <c r="G6" s="19">
        <v>325000</v>
      </c>
      <c r="H6" s="20">
        <v>1200000000</v>
      </c>
    </row>
    <row r="7" spans="2:20">
      <c r="B7" s="17" t="s">
        <v>24</v>
      </c>
      <c r="C7" s="17" t="s">
        <v>25</v>
      </c>
      <c r="D7" s="18">
        <v>37229</v>
      </c>
      <c r="E7" s="17" t="s">
        <v>12</v>
      </c>
      <c r="F7" s="17" t="s">
        <v>23</v>
      </c>
      <c r="G7" s="19">
        <v>500000</v>
      </c>
      <c r="H7" s="20">
        <v>1850000000</v>
      </c>
    </row>
    <row r="8" spans="2:20">
      <c r="B8" s="17" t="s">
        <v>26</v>
      </c>
      <c r="C8" s="17" t="s">
        <v>27</v>
      </c>
      <c r="D8" s="18">
        <v>36882</v>
      </c>
      <c r="E8" s="17" t="s">
        <v>16</v>
      </c>
      <c r="F8" s="17" t="s">
        <v>20</v>
      </c>
      <c r="G8" s="19">
        <v>78000</v>
      </c>
      <c r="H8" s="20">
        <v>100000000</v>
      </c>
      <c r="J8" s="16" t="s">
        <v>3</v>
      </c>
      <c r="K8" s="16" t="s">
        <v>4</v>
      </c>
      <c r="L8" s="16" t="s">
        <v>5</v>
      </c>
      <c r="M8" s="16" t="s">
        <v>6</v>
      </c>
      <c r="N8" s="16" t="s">
        <v>7</v>
      </c>
      <c r="O8" s="16" t="s">
        <v>8</v>
      </c>
      <c r="P8" s="16" t="s">
        <v>9</v>
      </c>
      <c r="R8" s="51" t="s">
        <v>288</v>
      </c>
    </row>
    <row r="9" spans="2:20">
      <c r="B9" s="17" t="s">
        <v>28</v>
      </c>
      <c r="C9" s="17" t="s">
        <v>29</v>
      </c>
      <c r="D9" s="18">
        <v>36382</v>
      </c>
      <c r="E9" s="17" t="s">
        <v>30</v>
      </c>
      <c r="F9" s="17" t="s">
        <v>31</v>
      </c>
      <c r="G9" s="19">
        <v>1200000</v>
      </c>
      <c r="H9" s="20">
        <v>1200000000</v>
      </c>
      <c r="J9" s="17" t="s">
        <v>17</v>
      </c>
      <c r="K9" s="17" t="s">
        <v>18</v>
      </c>
      <c r="L9" s="18">
        <v>37224</v>
      </c>
      <c r="M9" s="17" t="s">
        <v>19</v>
      </c>
      <c r="N9" s="17" t="s">
        <v>20</v>
      </c>
      <c r="O9" s="19">
        <v>700000</v>
      </c>
      <c r="P9" s="20">
        <v>2000000000</v>
      </c>
      <c r="R9" s="1" t="b">
        <f>OR(G3&gt;=LARGE($G$3:$G$44,3), G3&lt;=SMALL($G$3:$G$44,3))</f>
        <v>0</v>
      </c>
    </row>
    <row r="10" spans="2:20">
      <c r="B10" s="17" t="s">
        <v>32</v>
      </c>
      <c r="C10" s="17" t="s">
        <v>33</v>
      </c>
      <c r="D10" s="18">
        <v>37000</v>
      </c>
      <c r="E10" s="17" t="s">
        <v>19</v>
      </c>
      <c r="F10" s="17" t="s">
        <v>13</v>
      </c>
      <c r="G10" s="19">
        <v>320000</v>
      </c>
      <c r="H10" s="20">
        <v>1400000000</v>
      </c>
      <c r="J10" s="17" t="s">
        <v>28</v>
      </c>
      <c r="K10" s="17" t="s">
        <v>29</v>
      </c>
      <c r="L10" s="18">
        <v>36382</v>
      </c>
      <c r="M10" s="17" t="s">
        <v>30</v>
      </c>
      <c r="N10" s="17" t="s">
        <v>31</v>
      </c>
      <c r="O10" s="19">
        <v>1200000</v>
      </c>
      <c r="P10" s="20">
        <v>1200000000</v>
      </c>
    </row>
    <row r="11" spans="2:20">
      <c r="B11" s="17" t="s">
        <v>34</v>
      </c>
      <c r="C11" s="17" t="s">
        <v>35</v>
      </c>
      <c r="D11" s="18">
        <v>36493</v>
      </c>
      <c r="E11" s="17" t="s">
        <v>19</v>
      </c>
      <c r="F11" s="17" t="s">
        <v>23</v>
      </c>
      <c r="G11" s="19">
        <v>320000</v>
      </c>
      <c r="H11" s="20">
        <v>1500000000</v>
      </c>
      <c r="J11" s="17" t="s">
        <v>42</v>
      </c>
      <c r="K11" s="17" t="s">
        <v>43</v>
      </c>
      <c r="L11" s="18">
        <v>36410</v>
      </c>
      <c r="M11" s="17" t="s">
        <v>30</v>
      </c>
      <c r="N11" s="17" t="s">
        <v>44</v>
      </c>
      <c r="O11" s="19">
        <v>520000</v>
      </c>
      <c r="P11" s="20">
        <v>1800000000</v>
      </c>
    </row>
    <row r="12" spans="2:20">
      <c r="B12" s="17" t="s">
        <v>36</v>
      </c>
      <c r="C12" s="17" t="s">
        <v>37</v>
      </c>
      <c r="D12" s="18">
        <v>36954</v>
      </c>
      <c r="E12" s="17" t="s">
        <v>12</v>
      </c>
      <c r="F12" s="17" t="s">
        <v>20</v>
      </c>
      <c r="G12" s="19">
        <v>240000</v>
      </c>
      <c r="H12" s="20">
        <v>700000000</v>
      </c>
      <c r="J12" s="21" t="s">
        <v>50</v>
      </c>
      <c r="K12" s="17" t="s">
        <v>25</v>
      </c>
      <c r="L12" s="18">
        <v>37229</v>
      </c>
      <c r="M12" s="17" t="s">
        <v>12</v>
      </c>
      <c r="N12" s="17" t="s">
        <v>23</v>
      </c>
      <c r="O12" s="22">
        <v>15000</v>
      </c>
      <c r="P12" s="20">
        <v>1850000000</v>
      </c>
    </row>
    <row r="13" spans="2:20">
      <c r="B13" s="17" t="s">
        <v>38</v>
      </c>
      <c r="C13" s="17" t="s">
        <v>39</v>
      </c>
      <c r="D13" s="18">
        <v>36570</v>
      </c>
      <c r="E13" s="17" t="s">
        <v>30</v>
      </c>
      <c r="F13" s="17" t="s">
        <v>20</v>
      </c>
      <c r="G13" s="19">
        <v>380000</v>
      </c>
      <c r="H13" s="20">
        <v>1450000000</v>
      </c>
      <c r="J13" s="21" t="s">
        <v>58</v>
      </c>
      <c r="K13" s="17" t="s">
        <v>43</v>
      </c>
      <c r="L13" s="18">
        <v>36410</v>
      </c>
      <c r="M13" s="17" t="s">
        <v>30</v>
      </c>
      <c r="N13" s="17" t="s">
        <v>44</v>
      </c>
      <c r="O13" s="22">
        <v>10000</v>
      </c>
      <c r="P13" s="20">
        <v>1800000000</v>
      </c>
    </row>
    <row r="14" spans="2:20">
      <c r="B14" s="17" t="s">
        <v>40</v>
      </c>
      <c r="C14" s="17" t="s">
        <v>41</v>
      </c>
      <c r="D14" s="18">
        <v>36048</v>
      </c>
      <c r="E14" s="17" t="s">
        <v>12</v>
      </c>
      <c r="F14" s="17" t="s">
        <v>13</v>
      </c>
      <c r="G14" s="19">
        <v>180000</v>
      </c>
      <c r="H14" s="20">
        <v>250000000</v>
      </c>
      <c r="J14" s="21" t="s">
        <v>59</v>
      </c>
      <c r="K14" s="17" t="s">
        <v>46</v>
      </c>
      <c r="L14" s="18">
        <v>35923</v>
      </c>
      <c r="M14" s="17" t="s">
        <v>16</v>
      </c>
      <c r="N14" s="17" t="s">
        <v>31</v>
      </c>
      <c r="O14" s="22">
        <v>7000</v>
      </c>
      <c r="P14" s="20">
        <v>50000000</v>
      </c>
    </row>
    <row r="15" spans="2:20">
      <c r="B15" s="17" t="s">
        <v>42</v>
      </c>
      <c r="C15" s="17" t="s">
        <v>43</v>
      </c>
      <c r="D15" s="18">
        <v>36410</v>
      </c>
      <c r="E15" s="17" t="s">
        <v>30</v>
      </c>
      <c r="F15" s="17" t="s">
        <v>44</v>
      </c>
      <c r="G15" s="19">
        <v>520000</v>
      </c>
      <c r="H15" s="20">
        <v>1800000000</v>
      </c>
      <c r="T15" s="1" t="s">
        <v>289</v>
      </c>
    </row>
    <row r="16" spans="2:20">
      <c r="B16" s="17" t="s">
        <v>45</v>
      </c>
      <c r="C16" s="17" t="s">
        <v>46</v>
      </c>
      <c r="D16" s="18">
        <v>35924</v>
      </c>
      <c r="E16" s="17" t="s">
        <v>16</v>
      </c>
      <c r="F16" s="17" t="s">
        <v>31</v>
      </c>
      <c r="G16" s="19">
        <v>35000</v>
      </c>
      <c r="H16" s="20">
        <v>50000000</v>
      </c>
      <c r="T16" s="1" t="s">
        <v>290</v>
      </c>
    </row>
    <row r="17" spans="2:8">
      <c r="B17" s="21" t="s">
        <v>74</v>
      </c>
      <c r="C17" s="17" t="s">
        <v>11</v>
      </c>
      <c r="D17" s="18">
        <v>36633</v>
      </c>
      <c r="E17" s="17" t="s">
        <v>12</v>
      </c>
      <c r="F17" s="17" t="s">
        <v>13</v>
      </c>
      <c r="G17" s="22">
        <v>120000</v>
      </c>
      <c r="H17" s="20">
        <v>500000000</v>
      </c>
    </row>
    <row r="18" spans="2:8">
      <c r="B18" s="21" t="s">
        <v>47</v>
      </c>
      <c r="C18" s="17" t="s">
        <v>15</v>
      </c>
      <c r="D18" s="18">
        <v>36284</v>
      </c>
      <c r="E18" s="17" t="s">
        <v>16</v>
      </c>
      <c r="F18" s="17" t="s">
        <v>13</v>
      </c>
      <c r="G18" s="22">
        <v>25000</v>
      </c>
      <c r="H18" s="20">
        <v>230000000</v>
      </c>
    </row>
    <row r="19" spans="2:8">
      <c r="B19" s="21" t="s">
        <v>48</v>
      </c>
      <c r="C19" s="17" t="s">
        <v>18</v>
      </c>
      <c r="D19" s="18">
        <v>37224</v>
      </c>
      <c r="E19" s="17" t="s">
        <v>19</v>
      </c>
      <c r="F19" s="17" t="s">
        <v>20</v>
      </c>
      <c r="G19" s="22">
        <v>80000</v>
      </c>
      <c r="H19" s="20">
        <v>2000000000</v>
      </c>
    </row>
    <row r="20" spans="2:8">
      <c r="B20" s="21" t="s">
        <v>49</v>
      </c>
      <c r="C20" s="17" t="s">
        <v>22</v>
      </c>
      <c r="D20" s="18">
        <v>36503</v>
      </c>
      <c r="E20" s="17" t="s">
        <v>16</v>
      </c>
      <c r="F20" s="17" t="s">
        <v>23</v>
      </c>
      <c r="G20" s="22">
        <v>30000</v>
      </c>
      <c r="H20" s="20">
        <v>1200000000</v>
      </c>
    </row>
    <row r="21" spans="2:8">
      <c r="B21" s="21" t="s">
        <v>50</v>
      </c>
      <c r="C21" s="17" t="s">
        <v>25</v>
      </c>
      <c r="D21" s="18">
        <v>37229</v>
      </c>
      <c r="E21" s="17" t="s">
        <v>12</v>
      </c>
      <c r="F21" s="17" t="s">
        <v>23</v>
      </c>
      <c r="G21" s="22">
        <v>15000</v>
      </c>
      <c r="H21" s="20">
        <v>1850000000</v>
      </c>
    </row>
    <row r="22" spans="2:8">
      <c r="B22" s="21" t="s">
        <v>51</v>
      </c>
      <c r="C22" s="17" t="s">
        <v>27</v>
      </c>
      <c r="D22" s="18">
        <v>36882</v>
      </c>
      <c r="E22" s="17" t="s">
        <v>16</v>
      </c>
      <c r="F22" s="17" t="s">
        <v>20</v>
      </c>
      <c r="G22" s="22">
        <v>20000</v>
      </c>
      <c r="H22" s="20">
        <v>100000000</v>
      </c>
    </row>
    <row r="23" spans="2:8">
      <c r="B23" s="21" t="s">
        <v>52</v>
      </c>
      <c r="C23" s="17" t="s">
        <v>29</v>
      </c>
      <c r="D23" s="18">
        <v>36382</v>
      </c>
      <c r="E23" s="17" t="s">
        <v>30</v>
      </c>
      <c r="F23" s="17" t="s">
        <v>31</v>
      </c>
      <c r="G23" s="22">
        <v>50000</v>
      </c>
      <c r="H23" s="20">
        <v>1200000000</v>
      </c>
    </row>
    <row r="24" spans="2:8">
      <c r="B24" s="21" t="s">
        <v>53</v>
      </c>
      <c r="C24" s="17" t="s">
        <v>33</v>
      </c>
      <c r="D24" s="18">
        <v>37000</v>
      </c>
      <c r="E24" s="17" t="s">
        <v>19</v>
      </c>
      <c r="F24" s="17" t="s">
        <v>13</v>
      </c>
      <c r="G24" s="22">
        <v>120000</v>
      </c>
      <c r="H24" s="20">
        <v>1400000000</v>
      </c>
    </row>
    <row r="25" spans="2:8">
      <c r="B25" s="21" t="s">
        <v>54</v>
      </c>
      <c r="C25" s="17" t="s">
        <v>35</v>
      </c>
      <c r="D25" s="18">
        <v>36493</v>
      </c>
      <c r="E25" s="17" t="s">
        <v>19</v>
      </c>
      <c r="F25" s="17" t="s">
        <v>23</v>
      </c>
      <c r="G25" s="22">
        <v>35000</v>
      </c>
      <c r="H25" s="20">
        <v>1500000000</v>
      </c>
    </row>
    <row r="26" spans="2:8">
      <c r="B26" s="21" t="s">
        <v>55</v>
      </c>
      <c r="C26" s="17" t="s">
        <v>37</v>
      </c>
      <c r="D26" s="18">
        <v>36954</v>
      </c>
      <c r="E26" s="17" t="s">
        <v>12</v>
      </c>
      <c r="F26" s="17" t="s">
        <v>20</v>
      </c>
      <c r="G26" s="22">
        <v>200000</v>
      </c>
      <c r="H26" s="20">
        <v>700000000</v>
      </c>
    </row>
    <row r="27" spans="2:8">
      <c r="B27" s="21" t="s">
        <v>56</v>
      </c>
      <c r="C27" s="17" t="s">
        <v>39</v>
      </c>
      <c r="D27" s="18">
        <v>36570</v>
      </c>
      <c r="E27" s="17" t="s">
        <v>30</v>
      </c>
      <c r="F27" s="17" t="s">
        <v>20</v>
      </c>
      <c r="G27" s="22">
        <v>120000</v>
      </c>
      <c r="H27" s="20">
        <v>1450000000</v>
      </c>
    </row>
    <row r="28" spans="2:8">
      <c r="B28" s="21" t="s">
        <v>57</v>
      </c>
      <c r="C28" s="17" t="s">
        <v>41</v>
      </c>
      <c r="D28" s="18">
        <v>36048</v>
      </c>
      <c r="E28" s="17" t="s">
        <v>12</v>
      </c>
      <c r="F28" s="17" t="s">
        <v>13</v>
      </c>
      <c r="G28" s="22">
        <v>340000</v>
      </c>
      <c r="H28" s="20">
        <v>250000000</v>
      </c>
    </row>
    <row r="29" spans="2:8">
      <c r="B29" s="21" t="s">
        <v>58</v>
      </c>
      <c r="C29" s="17" t="s">
        <v>43</v>
      </c>
      <c r="D29" s="18">
        <v>36410</v>
      </c>
      <c r="E29" s="17" t="s">
        <v>30</v>
      </c>
      <c r="F29" s="17" t="s">
        <v>44</v>
      </c>
      <c r="G29" s="22">
        <v>10000</v>
      </c>
      <c r="H29" s="20">
        <v>1800000000</v>
      </c>
    </row>
    <row r="30" spans="2:8">
      <c r="B30" s="21" t="s">
        <v>59</v>
      </c>
      <c r="C30" s="17" t="s">
        <v>46</v>
      </c>
      <c r="D30" s="18">
        <v>35923</v>
      </c>
      <c r="E30" s="17" t="s">
        <v>16</v>
      </c>
      <c r="F30" s="17" t="s">
        <v>31</v>
      </c>
      <c r="G30" s="22">
        <v>7000</v>
      </c>
      <c r="H30" s="20">
        <v>50000000</v>
      </c>
    </row>
    <row r="31" spans="2:8">
      <c r="B31" s="21" t="s">
        <v>60</v>
      </c>
      <c r="C31" s="17" t="s">
        <v>11</v>
      </c>
      <c r="D31" s="18">
        <v>36633</v>
      </c>
      <c r="E31" s="17" t="s">
        <v>12</v>
      </c>
      <c r="F31" s="17" t="s">
        <v>13</v>
      </c>
      <c r="G31" s="22">
        <v>30000</v>
      </c>
      <c r="H31" s="20">
        <v>500000000</v>
      </c>
    </row>
    <row r="32" spans="2:8">
      <c r="B32" s="21" t="s">
        <v>61</v>
      </c>
      <c r="C32" s="17" t="s">
        <v>15</v>
      </c>
      <c r="D32" s="18">
        <v>36284</v>
      </c>
      <c r="E32" s="17" t="s">
        <v>16</v>
      </c>
      <c r="F32" s="17" t="s">
        <v>13</v>
      </c>
      <c r="G32" s="22">
        <v>120000</v>
      </c>
      <c r="H32" s="20">
        <v>230000000</v>
      </c>
    </row>
    <row r="33" spans="2:9">
      <c r="B33" s="21" t="s">
        <v>62</v>
      </c>
      <c r="C33" s="17" t="s">
        <v>18</v>
      </c>
      <c r="D33" s="18">
        <v>37224</v>
      </c>
      <c r="E33" s="17" t="s">
        <v>19</v>
      </c>
      <c r="F33" s="17" t="s">
        <v>20</v>
      </c>
      <c r="G33" s="22">
        <v>35000</v>
      </c>
      <c r="H33" s="20">
        <v>2000000000</v>
      </c>
    </row>
    <row r="34" spans="2:9">
      <c r="B34" s="21" t="s">
        <v>63</v>
      </c>
      <c r="C34" s="17" t="s">
        <v>22</v>
      </c>
      <c r="D34" s="18">
        <v>36503</v>
      </c>
      <c r="E34" s="17" t="s">
        <v>16</v>
      </c>
      <c r="F34" s="17" t="s">
        <v>23</v>
      </c>
      <c r="G34" s="22">
        <v>100000</v>
      </c>
      <c r="H34" s="20">
        <v>1200000000</v>
      </c>
    </row>
    <row r="35" spans="2:9">
      <c r="B35" s="21" t="s">
        <v>64</v>
      </c>
      <c r="C35" s="17" t="s">
        <v>25</v>
      </c>
      <c r="D35" s="18">
        <v>37229</v>
      </c>
      <c r="E35" s="17" t="s">
        <v>12</v>
      </c>
      <c r="F35" s="17" t="s">
        <v>23</v>
      </c>
      <c r="G35" s="22">
        <v>165000</v>
      </c>
      <c r="H35" s="20">
        <v>1850000000</v>
      </c>
    </row>
    <row r="36" spans="2:9">
      <c r="B36" s="21" t="s">
        <v>65</v>
      </c>
      <c r="C36" s="17" t="s">
        <v>27</v>
      </c>
      <c r="D36" s="18">
        <v>36883</v>
      </c>
      <c r="E36" s="17" t="s">
        <v>16</v>
      </c>
      <c r="F36" s="17" t="s">
        <v>20</v>
      </c>
      <c r="G36" s="22">
        <v>70000</v>
      </c>
      <c r="H36" s="20">
        <v>100000000</v>
      </c>
    </row>
    <row r="37" spans="2:9">
      <c r="B37" s="21" t="s">
        <v>66</v>
      </c>
      <c r="C37" s="17" t="s">
        <v>29</v>
      </c>
      <c r="D37" s="18">
        <v>36382</v>
      </c>
      <c r="E37" s="17" t="s">
        <v>30</v>
      </c>
      <c r="F37" s="17" t="s">
        <v>31</v>
      </c>
      <c r="G37" s="22">
        <v>43000</v>
      </c>
      <c r="H37" s="20">
        <v>1200000000</v>
      </c>
    </row>
    <row r="38" spans="2:9">
      <c r="B38" s="21" t="s">
        <v>67</v>
      </c>
      <c r="C38" s="17" t="s">
        <v>33</v>
      </c>
      <c r="D38" s="18">
        <v>37000</v>
      </c>
      <c r="E38" s="17" t="s">
        <v>19</v>
      </c>
      <c r="F38" s="17" t="s">
        <v>13</v>
      </c>
      <c r="G38" s="22">
        <v>60000</v>
      </c>
      <c r="H38" s="20">
        <v>1400000000</v>
      </c>
    </row>
    <row r="39" spans="2:9">
      <c r="B39" s="21" t="s">
        <v>68</v>
      </c>
      <c r="C39" s="17" t="s">
        <v>35</v>
      </c>
      <c r="D39" s="18">
        <v>36493</v>
      </c>
      <c r="E39" s="17" t="s">
        <v>19</v>
      </c>
      <c r="F39" s="17" t="s">
        <v>23</v>
      </c>
      <c r="G39" s="22">
        <v>30000</v>
      </c>
      <c r="H39" s="20">
        <v>1500000000</v>
      </c>
    </row>
    <row r="40" spans="2:9">
      <c r="B40" s="21" t="s">
        <v>69</v>
      </c>
      <c r="C40" s="17" t="s">
        <v>37</v>
      </c>
      <c r="D40" s="18">
        <v>36954</v>
      </c>
      <c r="E40" s="17" t="s">
        <v>12</v>
      </c>
      <c r="F40" s="17" t="s">
        <v>20</v>
      </c>
      <c r="G40" s="22">
        <v>60000</v>
      </c>
      <c r="H40" s="20">
        <v>700000000</v>
      </c>
    </row>
    <row r="41" spans="2:9">
      <c r="B41" s="21" t="s">
        <v>70</v>
      </c>
      <c r="C41" s="17" t="s">
        <v>39</v>
      </c>
      <c r="D41" s="18">
        <v>36570</v>
      </c>
      <c r="E41" s="17" t="s">
        <v>30</v>
      </c>
      <c r="F41" s="17" t="s">
        <v>20</v>
      </c>
      <c r="G41" s="22">
        <v>50000</v>
      </c>
      <c r="H41" s="20">
        <v>1450000000</v>
      </c>
    </row>
    <row r="42" spans="2:9">
      <c r="B42" s="21" t="s">
        <v>71</v>
      </c>
      <c r="C42" s="17" t="s">
        <v>41</v>
      </c>
      <c r="D42" s="18">
        <v>36048</v>
      </c>
      <c r="E42" s="17" t="s">
        <v>12</v>
      </c>
      <c r="F42" s="17" t="s">
        <v>13</v>
      </c>
      <c r="G42" s="22">
        <v>120000</v>
      </c>
      <c r="H42" s="20">
        <v>250000000</v>
      </c>
    </row>
    <row r="43" spans="2:9">
      <c r="B43" s="21" t="s">
        <v>72</v>
      </c>
      <c r="C43" s="17" t="s">
        <v>43</v>
      </c>
      <c r="D43" s="18">
        <v>36410</v>
      </c>
      <c r="E43" s="17" t="s">
        <v>30</v>
      </c>
      <c r="F43" s="17" t="s">
        <v>44</v>
      </c>
      <c r="G43" s="22">
        <v>35000</v>
      </c>
      <c r="H43" s="20">
        <v>1800000000</v>
      </c>
    </row>
    <row r="44" spans="2:9">
      <c r="B44" s="21" t="s">
        <v>73</v>
      </c>
      <c r="C44" s="17" t="s">
        <v>46</v>
      </c>
      <c r="D44" s="18">
        <v>35923</v>
      </c>
      <c r="E44" s="17" t="s">
        <v>16</v>
      </c>
      <c r="F44" s="17" t="s">
        <v>31</v>
      </c>
      <c r="G44" s="22">
        <v>150000</v>
      </c>
      <c r="H44" s="20">
        <v>50000000</v>
      </c>
    </row>
    <row r="45" spans="2:9">
      <c r="B45" s="7"/>
      <c r="C45" s="7"/>
      <c r="G45" s="1"/>
      <c r="H45" s="1"/>
      <c r="I45" s="1"/>
    </row>
    <row r="46" spans="2:9">
      <c r="B46" s="7"/>
      <c r="C46" s="7"/>
      <c r="G46" s="1"/>
      <c r="H46" s="1"/>
      <c r="I46" s="1"/>
    </row>
    <row r="47" spans="2:9">
      <c r="B47" s="7"/>
      <c r="C47" s="7"/>
      <c r="G47" s="1"/>
      <c r="H47" s="1"/>
      <c r="I47" s="1"/>
    </row>
    <row r="48" spans="2:9">
      <c r="B48" s="7"/>
      <c r="C48" s="7"/>
      <c r="G48" s="1"/>
      <c r="H48" s="1"/>
      <c r="I48" s="1"/>
    </row>
    <row r="49" spans="2:9">
      <c r="B49" s="7"/>
      <c r="C49" s="7"/>
      <c r="G49" s="1"/>
      <c r="H49" s="1"/>
      <c r="I49" s="1"/>
    </row>
    <row r="50" spans="2:9">
      <c r="H50" s="1"/>
      <c r="I50" s="1"/>
    </row>
    <row r="51" spans="2:9">
      <c r="H51" s="1"/>
      <c r="I51" s="1"/>
    </row>
    <row r="52" spans="2:9">
      <c r="H52" s="1"/>
      <c r="I52" s="1"/>
    </row>
    <row r="53" spans="2:9">
      <c r="H53" s="1"/>
      <c r="I53" s="1"/>
    </row>
    <row r="54" spans="2:9">
      <c r="H54" s="1"/>
      <c r="I54" s="1"/>
    </row>
    <row r="55" spans="2:9">
      <c r="H55" s="1"/>
      <c r="I55" s="1"/>
    </row>
    <row r="56" spans="2:9">
      <c r="H56" s="1"/>
      <c r="I56" s="1"/>
    </row>
    <row r="57" spans="2:9">
      <c r="H57" s="1"/>
      <c r="I57" s="1"/>
    </row>
    <row r="58" spans="2:9">
      <c r="H58" s="1"/>
      <c r="I58" s="1"/>
    </row>
    <row r="59" spans="2:9">
      <c r="H59" s="1"/>
      <c r="I59" s="1"/>
    </row>
    <row r="60" spans="2:9">
      <c r="H60" s="1"/>
      <c r="I60" s="1"/>
    </row>
    <row r="61" spans="2:9">
      <c r="H61" s="1"/>
      <c r="I61" s="1"/>
    </row>
    <row r="62" spans="2:9">
      <c r="H62" s="1"/>
      <c r="I62" s="1"/>
    </row>
    <row r="63" spans="2:9">
      <c r="H63" s="1"/>
      <c r="I63" s="1"/>
    </row>
    <row r="64" spans="2:9">
      <c r="H64" s="1"/>
      <c r="I64" s="1"/>
    </row>
    <row r="65" spans="8:9">
      <c r="H65" s="1"/>
      <c r="I65" s="1"/>
    </row>
    <row r="66" spans="8:9">
      <c r="H66" s="1"/>
      <c r="I66" s="1"/>
    </row>
    <row r="67" spans="8:9">
      <c r="H67" s="1"/>
      <c r="I67" s="1"/>
    </row>
    <row r="68" spans="8:9">
      <c r="H68" s="1"/>
      <c r="I68" s="1"/>
    </row>
    <row r="69" spans="8:9">
      <c r="H69" s="1"/>
      <c r="I69" s="1"/>
    </row>
    <row r="70" spans="8:9">
      <c r="H70" s="1"/>
      <c r="I70" s="1"/>
    </row>
    <row r="71" spans="8:9">
      <c r="H71" s="1"/>
      <c r="I71" s="1"/>
    </row>
    <row r="72" spans="8:9">
      <c r="H72" s="1"/>
      <c r="I72" s="1"/>
    </row>
    <row r="73" spans="8:9">
      <c r="H73" s="1"/>
      <c r="I73" s="1"/>
    </row>
    <row r="74" spans="8:9">
      <c r="H74" s="1"/>
      <c r="I74" s="1"/>
    </row>
    <row r="75" spans="8:9">
      <c r="H75" s="1"/>
      <c r="I75" s="1"/>
    </row>
    <row r="76" spans="8:9">
      <c r="H76" s="1"/>
      <c r="I76" s="1"/>
    </row>
    <row r="77" spans="8:9">
      <c r="H77" s="1"/>
      <c r="I77" s="1"/>
    </row>
    <row r="78" spans="8:9">
      <c r="H78" s="1"/>
      <c r="I78" s="1"/>
    </row>
    <row r="79" spans="8:9">
      <c r="H79" s="1"/>
      <c r="I79" s="1"/>
    </row>
    <row r="80" spans="8:9">
      <c r="H80" s="1"/>
      <c r="I80" s="1"/>
    </row>
    <row r="81" spans="8:9">
      <c r="H81" s="1"/>
      <c r="I81" s="1"/>
    </row>
    <row r="82" spans="8:9">
      <c r="H82" s="1"/>
      <c r="I82" s="1"/>
    </row>
    <row r="83" spans="8:9">
      <c r="H83" s="1"/>
      <c r="I83" s="1"/>
    </row>
    <row r="84" spans="8:9">
      <c r="H84" s="1"/>
      <c r="I84" s="1"/>
    </row>
    <row r="85" spans="8:9">
      <c r="H85" s="1"/>
      <c r="I85" s="1"/>
    </row>
    <row r="86" spans="8:9">
      <c r="H86" s="1"/>
      <c r="I86" s="1"/>
    </row>
    <row r="87" spans="8:9">
      <c r="H87" s="1"/>
      <c r="I87" s="1"/>
    </row>
    <row r="88" spans="8:9">
      <c r="H88" s="1"/>
      <c r="I88" s="1"/>
    </row>
    <row r="89" spans="8:9">
      <c r="H89" s="1"/>
      <c r="I89" s="1"/>
    </row>
    <row r="90" spans="8:9">
      <c r="H90" s="1"/>
      <c r="I90" s="1"/>
    </row>
    <row r="91" spans="8:9">
      <c r="H91" s="1"/>
      <c r="I91" s="1"/>
    </row>
    <row r="92" spans="8:9">
      <c r="H92" s="1"/>
      <c r="I92" s="1"/>
    </row>
    <row r="93" spans="8:9">
      <c r="H93" s="1"/>
      <c r="I93" s="1"/>
    </row>
    <row r="94" spans="8:9">
      <c r="H94" s="1"/>
      <c r="I94" s="1"/>
    </row>
    <row r="95" spans="8:9">
      <c r="H95" s="1"/>
      <c r="I95" s="1"/>
    </row>
    <row r="96" spans="8:9">
      <c r="H96" s="1"/>
      <c r="I96" s="1"/>
    </row>
    <row r="97" spans="8:9">
      <c r="H97" s="1"/>
      <c r="I97" s="1"/>
    </row>
    <row r="98" spans="8:9">
      <c r="H98" s="1"/>
      <c r="I98" s="1"/>
    </row>
    <row r="99" spans="8:9">
      <c r="H99" s="1"/>
      <c r="I99" s="1"/>
    </row>
    <row r="100" spans="8:9">
      <c r="H100" s="1"/>
      <c r="I100" s="1"/>
    </row>
    <row r="101" spans="8:9">
      <c r="H101" s="1"/>
      <c r="I101" s="1"/>
    </row>
    <row r="102" spans="8:9">
      <c r="H102" s="1"/>
      <c r="I102" s="1"/>
    </row>
    <row r="103" spans="8:9">
      <c r="H103" s="1"/>
      <c r="I103" s="1"/>
    </row>
    <row r="104" spans="8:9">
      <c r="H104" s="1"/>
      <c r="I104" s="1"/>
    </row>
    <row r="105" spans="8:9">
      <c r="H105" s="1"/>
      <c r="I105" s="1"/>
    </row>
    <row r="106" spans="8:9">
      <c r="H106" s="1"/>
      <c r="I106" s="1"/>
    </row>
    <row r="107" spans="8:9">
      <c r="H107" s="1"/>
      <c r="I107" s="1"/>
    </row>
    <row r="108" spans="8:9">
      <c r="H108" s="1"/>
      <c r="I108" s="1"/>
    </row>
    <row r="109" spans="8:9">
      <c r="H109" s="1"/>
      <c r="I109" s="1"/>
    </row>
    <row r="110" spans="8:9">
      <c r="H110" s="1"/>
      <c r="I110" s="1"/>
    </row>
    <row r="111" spans="8:9">
      <c r="H111" s="1"/>
      <c r="I111" s="1"/>
    </row>
    <row r="112" spans="8:9">
      <c r="H112" s="1"/>
      <c r="I112" s="1"/>
    </row>
    <row r="113" spans="8:9">
      <c r="H113" s="1"/>
      <c r="I113" s="1"/>
    </row>
    <row r="114" spans="8:9">
      <c r="H114" s="1"/>
      <c r="I114" s="1"/>
    </row>
    <row r="115" spans="8:9">
      <c r="H115" s="1"/>
      <c r="I115" s="1"/>
    </row>
    <row r="116" spans="8:9">
      <c r="H116" s="1"/>
      <c r="I116" s="1"/>
    </row>
    <row r="117" spans="8:9">
      <c r="H117" s="1"/>
      <c r="I117" s="1"/>
    </row>
    <row r="118" spans="8:9">
      <c r="H118" s="1"/>
      <c r="I118" s="1"/>
    </row>
    <row r="119" spans="8:9">
      <c r="H119" s="1"/>
      <c r="I119" s="1"/>
    </row>
    <row r="120" spans="8:9">
      <c r="H120" s="1"/>
      <c r="I120" s="1"/>
    </row>
    <row r="121" spans="8:9">
      <c r="H121" s="1"/>
      <c r="I121" s="1"/>
    </row>
    <row r="122" spans="8:9">
      <c r="H122" s="1"/>
      <c r="I122" s="1"/>
    </row>
    <row r="123" spans="8:9">
      <c r="H123" s="1"/>
      <c r="I123" s="1"/>
    </row>
    <row r="124" spans="8:9">
      <c r="H124" s="1"/>
      <c r="I124" s="1"/>
    </row>
    <row r="125" spans="8:9">
      <c r="H125" s="1"/>
      <c r="I125" s="1"/>
    </row>
    <row r="126" spans="8:9">
      <c r="H126" s="1"/>
      <c r="I126" s="1"/>
    </row>
    <row r="127" spans="8:9">
      <c r="H127" s="1"/>
      <c r="I127" s="1"/>
    </row>
    <row r="128" spans="8:9">
      <c r="H128" s="1"/>
      <c r="I128" s="1"/>
    </row>
    <row r="129" spans="8:9">
      <c r="H129" s="1"/>
      <c r="I129" s="1"/>
    </row>
    <row r="130" spans="8:9">
      <c r="H130" s="1"/>
      <c r="I130" s="1"/>
    </row>
    <row r="131" spans="8:9">
      <c r="H131" s="1"/>
      <c r="I131" s="1"/>
    </row>
    <row r="132" spans="8:9">
      <c r="H132" s="1"/>
      <c r="I132" s="1"/>
    </row>
    <row r="133" spans="8:9">
      <c r="H133" s="1"/>
      <c r="I133" s="1"/>
    </row>
    <row r="134" spans="8:9">
      <c r="H134" s="1"/>
      <c r="I134" s="1"/>
    </row>
    <row r="135" spans="8:9">
      <c r="H135" s="1"/>
      <c r="I135" s="1"/>
    </row>
    <row r="136" spans="8:9">
      <c r="H136" s="1"/>
      <c r="I136" s="1"/>
    </row>
    <row r="137" spans="8:9">
      <c r="H137" s="1"/>
      <c r="I137" s="1"/>
    </row>
    <row r="138" spans="8:9">
      <c r="H138" s="1"/>
      <c r="I138" s="1"/>
    </row>
    <row r="139" spans="8:9">
      <c r="H139" s="1"/>
      <c r="I139" s="1"/>
    </row>
    <row r="140" spans="8:9">
      <c r="H140" s="1"/>
      <c r="I140" s="1"/>
    </row>
    <row r="141" spans="8:9">
      <c r="H141" s="1"/>
      <c r="I141" s="1"/>
    </row>
    <row r="142" spans="8:9">
      <c r="H142" s="1"/>
      <c r="I142" s="1"/>
    </row>
    <row r="143" spans="8:9">
      <c r="H143" s="1"/>
      <c r="I143" s="1"/>
    </row>
    <row r="144" spans="8:9">
      <c r="H144" s="1"/>
      <c r="I144" s="1"/>
    </row>
    <row r="145" spans="8:9">
      <c r="H145" s="1"/>
      <c r="I145" s="1"/>
    </row>
    <row r="146" spans="8:9">
      <c r="H146" s="1"/>
      <c r="I146" s="1"/>
    </row>
    <row r="147" spans="8:9">
      <c r="H147" s="1"/>
      <c r="I147" s="1"/>
    </row>
    <row r="148" spans="8:9">
      <c r="H148" s="1"/>
      <c r="I148" s="1"/>
    </row>
    <row r="149" spans="8:9">
      <c r="H149" s="1"/>
      <c r="I149" s="1"/>
    </row>
    <row r="150" spans="8:9">
      <c r="H150" s="1"/>
      <c r="I150" s="1"/>
    </row>
    <row r="151" spans="8:9">
      <c r="H151" s="1"/>
      <c r="I151" s="1"/>
    </row>
    <row r="152" spans="8:9">
      <c r="H152" s="1"/>
      <c r="I152" s="1"/>
    </row>
    <row r="153" spans="8:9">
      <c r="H153" s="1"/>
      <c r="I153" s="1"/>
    </row>
    <row r="154" spans="8:9">
      <c r="H154" s="1"/>
      <c r="I154" s="1"/>
    </row>
    <row r="155" spans="8:9">
      <c r="H155" s="1"/>
      <c r="I155" s="1"/>
    </row>
    <row r="156" spans="8:9">
      <c r="H156" s="1"/>
      <c r="I156" s="1"/>
    </row>
    <row r="157" spans="8:9">
      <c r="H157" s="1"/>
      <c r="I157" s="1"/>
    </row>
    <row r="158" spans="8:9">
      <c r="H158" s="1"/>
      <c r="I158" s="1"/>
    </row>
    <row r="159" spans="8:9">
      <c r="H159" s="1"/>
      <c r="I159" s="1"/>
    </row>
    <row r="160" spans="8:9">
      <c r="H160" s="1"/>
      <c r="I160" s="1"/>
    </row>
    <row r="161" spans="8:9">
      <c r="H161" s="1"/>
      <c r="I161" s="1"/>
    </row>
    <row r="162" spans="8:9">
      <c r="H162" s="1"/>
      <c r="I162" s="1"/>
    </row>
    <row r="163" spans="8:9">
      <c r="H163" s="1"/>
      <c r="I163" s="1"/>
    </row>
    <row r="164" spans="8:9">
      <c r="H164" s="1"/>
      <c r="I164" s="1"/>
    </row>
    <row r="165" spans="8:9">
      <c r="H165" s="1"/>
      <c r="I165" s="1"/>
    </row>
    <row r="166" spans="8:9">
      <c r="H166" s="1"/>
      <c r="I166" s="1"/>
    </row>
    <row r="167" spans="8:9">
      <c r="H167" s="1"/>
      <c r="I167" s="1"/>
    </row>
    <row r="168" spans="8:9">
      <c r="H168" s="1"/>
      <c r="I168" s="1"/>
    </row>
    <row r="169" spans="8:9">
      <c r="H169" s="1"/>
      <c r="I169" s="1"/>
    </row>
    <row r="170" spans="8:9">
      <c r="H170" s="1"/>
      <c r="I170" s="1"/>
    </row>
    <row r="171" spans="8:9">
      <c r="H171" s="1"/>
      <c r="I171" s="1"/>
    </row>
    <row r="172" spans="8:9">
      <c r="H172" s="1"/>
      <c r="I172" s="1"/>
    </row>
    <row r="173" spans="8:9">
      <c r="H173" s="1"/>
      <c r="I173" s="1"/>
    </row>
    <row r="174" spans="8:9">
      <c r="H174" s="1"/>
      <c r="I174" s="1"/>
    </row>
    <row r="175" spans="8:9">
      <c r="H175" s="1"/>
      <c r="I175" s="1"/>
    </row>
    <row r="176" spans="8:9">
      <c r="H176" s="1"/>
      <c r="I176" s="1"/>
    </row>
    <row r="177" spans="8:9">
      <c r="H177" s="1"/>
      <c r="I177" s="1"/>
    </row>
    <row r="178" spans="8:9">
      <c r="H178" s="1"/>
      <c r="I178" s="1"/>
    </row>
    <row r="179" spans="8:9">
      <c r="H179" s="1"/>
      <c r="I179" s="1"/>
    </row>
    <row r="180" spans="8:9">
      <c r="H180" s="1"/>
      <c r="I180" s="1"/>
    </row>
    <row r="181" spans="8:9">
      <c r="H181" s="1"/>
      <c r="I181" s="1"/>
    </row>
    <row r="182" spans="8:9">
      <c r="H182" s="1"/>
      <c r="I182" s="1"/>
    </row>
    <row r="183" spans="8:9">
      <c r="H183" s="1"/>
      <c r="I183" s="1"/>
    </row>
    <row r="184" spans="8:9">
      <c r="H184" s="1"/>
      <c r="I184" s="1"/>
    </row>
    <row r="185" spans="8:9">
      <c r="H185" s="1"/>
      <c r="I185" s="1"/>
    </row>
    <row r="186" spans="8:9">
      <c r="H186" s="1"/>
      <c r="I186" s="1"/>
    </row>
    <row r="187" spans="8:9">
      <c r="H187" s="1"/>
      <c r="I187" s="1"/>
    </row>
    <row r="188" spans="8:9">
      <c r="H188" s="1"/>
      <c r="I188" s="1"/>
    </row>
    <row r="189" spans="8:9">
      <c r="H189" s="1"/>
      <c r="I189" s="1"/>
    </row>
    <row r="190" spans="8:9">
      <c r="H190" s="1"/>
      <c r="I190" s="1"/>
    </row>
  </sheetData>
  <phoneticPr fontId="1" type="noConversion"/>
  <conditionalFormatting sqref="B3:H44">
    <cfRule type="expression" dxfId="0" priority="1">
      <formula>OR(WEEKDAY($D3,2)&gt;=6,_xlfn.RANK.EQ($G3,$G$3:$G$44)&lt;=5)</formula>
    </cfRule>
  </conditionalFormatting>
  <printOptions verticalCentered="1"/>
  <pageMargins left="0.70866141732283472" right="0.70866141732283472" top="0.74803149606299213" bottom="0.74803149606299213" header="0.31496062992125984" footer="0.31496062992125984"/>
  <pageSetup paperSize="9" orientation="landscape" r:id="rId1"/>
  <headerFooter differentOddEven="1">
    <oddFooter>&amp;R작성시간 : &amp;T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P78"/>
  <sheetViews>
    <sheetView workbookViewId="0">
      <selection activeCell="Q8" sqref="Q8"/>
    </sheetView>
  </sheetViews>
  <sheetFormatPr defaultRowHeight="16.5"/>
  <cols>
    <col min="1" max="1" width="2.75" style="4" customWidth="1"/>
    <col min="2" max="2" width="9.125" style="8" bestFit="1" customWidth="1"/>
    <col min="3" max="3" width="9.125" style="9" bestFit="1" customWidth="1"/>
    <col min="4" max="4" width="10.375" style="3" customWidth="1"/>
    <col min="5" max="5" width="11.5" style="3" customWidth="1"/>
    <col min="6" max="6" width="9.875" style="3" bestFit="1" customWidth="1"/>
    <col min="7" max="7" width="9" style="3" bestFit="1" customWidth="1"/>
    <col min="8" max="8" width="8.75" style="10" customWidth="1"/>
    <col min="9" max="9" width="8.625" style="4" customWidth="1"/>
    <col min="10" max="10" width="13.75" style="4" bestFit="1" customWidth="1"/>
    <col min="11" max="12" width="7.5" style="4" customWidth="1"/>
    <col min="13" max="16384" width="9" style="4"/>
  </cols>
  <sheetData>
    <row r="1" spans="2:5">
      <c r="B1" s="8" t="s">
        <v>79</v>
      </c>
    </row>
    <row r="2" spans="2:5">
      <c r="B2" s="49" t="s">
        <v>75</v>
      </c>
      <c r="C2" s="49" t="s">
        <v>76</v>
      </c>
      <c r="D2" s="49" t="s">
        <v>80</v>
      </c>
      <c r="E2" s="67" t="s">
        <v>77</v>
      </c>
    </row>
    <row r="3" spans="2:5">
      <c r="B3" s="50" t="s">
        <v>78</v>
      </c>
      <c r="C3" s="25">
        <v>3</v>
      </c>
      <c r="D3" s="25">
        <v>2</v>
      </c>
      <c r="E3" s="68"/>
    </row>
    <row r="4" spans="2:5">
      <c r="B4" s="26">
        <v>1</v>
      </c>
      <c r="C4" s="26">
        <v>50</v>
      </c>
      <c r="D4" s="26">
        <v>53</v>
      </c>
      <c r="E4" s="27">
        <f>MIN(SUMPRODUCT(C4:D4,$C$3:$D$3),300)</f>
        <v>256</v>
      </c>
    </row>
    <row r="5" spans="2:5">
      <c r="B5" s="26">
        <v>2</v>
      </c>
      <c r="C5" s="26">
        <v>96</v>
      </c>
      <c r="D5" s="26">
        <v>82</v>
      </c>
      <c r="E5" s="27">
        <f t="shared" ref="E5:E18" si="0">MIN(SUMPRODUCT(C5:D5,$C$3:$D$3),300)</f>
        <v>300</v>
      </c>
    </row>
    <row r="6" spans="2:5">
      <c r="B6" s="26">
        <v>3</v>
      </c>
      <c r="C6" s="26">
        <v>17</v>
      </c>
      <c r="D6" s="26">
        <v>63</v>
      </c>
      <c r="E6" s="27">
        <f t="shared" si="0"/>
        <v>177</v>
      </c>
    </row>
    <row r="7" spans="2:5">
      <c r="B7" s="26">
        <v>4</v>
      </c>
      <c r="C7" s="26">
        <v>55</v>
      </c>
      <c r="D7" s="26">
        <v>60</v>
      </c>
      <c r="E7" s="27">
        <f t="shared" si="0"/>
        <v>285</v>
      </c>
    </row>
    <row r="8" spans="2:5">
      <c r="B8" s="26">
        <v>5</v>
      </c>
      <c r="C8" s="26">
        <v>79</v>
      </c>
      <c r="D8" s="26">
        <v>97</v>
      </c>
      <c r="E8" s="27">
        <f t="shared" si="0"/>
        <v>300</v>
      </c>
    </row>
    <row r="9" spans="2:5">
      <c r="B9" s="26">
        <v>6</v>
      </c>
      <c r="C9" s="26">
        <v>47</v>
      </c>
      <c r="D9" s="26">
        <v>67</v>
      </c>
      <c r="E9" s="27">
        <f t="shared" si="0"/>
        <v>275</v>
      </c>
    </row>
    <row r="10" spans="2:5">
      <c r="B10" s="26">
        <v>7</v>
      </c>
      <c r="C10" s="26">
        <v>32</v>
      </c>
      <c r="D10" s="26">
        <v>34</v>
      </c>
      <c r="E10" s="27">
        <f t="shared" si="0"/>
        <v>164</v>
      </c>
    </row>
    <row r="11" spans="2:5">
      <c r="B11" s="26">
        <v>8</v>
      </c>
      <c r="C11" s="26">
        <v>29</v>
      </c>
      <c r="D11" s="26">
        <v>25</v>
      </c>
      <c r="E11" s="27">
        <f t="shared" si="0"/>
        <v>137</v>
      </c>
    </row>
    <row r="12" spans="2:5">
      <c r="B12" s="26">
        <v>9</v>
      </c>
      <c r="C12" s="26">
        <v>99</v>
      </c>
      <c r="D12" s="26">
        <v>89</v>
      </c>
      <c r="E12" s="27">
        <f t="shared" si="0"/>
        <v>300</v>
      </c>
    </row>
    <row r="13" spans="2:5">
      <c r="B13" s="26">
        <v>10</v>
      </c>
      <c r="C13" s="26">
        <v>36</v>
      </c>
      <c r="D13" s="26">
        <v>53</v>
      </c>
      <c r="E13" s="27">
        <f t="shared" si="0"/>
        <v>214</v>
      </c>
    </row>
    <row r="14" spans="2:5">
      <c r="B14" s="26">
        <v>11</v>
      </c>
      <c r="C14" s="26">
        <v>60</v>
      </c>
      <c r="D14" s="26">
        <v>39</v>
      </c>
      <c r="E14" s="27">
        <f t="shared" si="0"/>
        <v>258</v>
      </c>
    </row>
    <row r="15" spans="2:5">
      <c r="B15" s="26">
        <v>12</v>
      </c>
      <c r="C15" s="26">
        <v>40</v>
      </c>
      <c r="D15" s="26">
        <v>68</v>
      </c>
      <c r="E15" s="27">
        <f t="shared" si="0"/>
        <v>256</v>
      </c>
    </row>
    <row r="16" spans="2:5">
      <c r="B16" s="26">
        <v>13</v>
      </c>
      <c r="C16" s="26">
        <v>76</v>
      </c>
      <c r="D16" s="26">
        <v>50</v>
      </c>
      <c r="E16" s="27">
        <f t="shared" si="0"/>
        <v>300</v>
      </c>
    </row>
    <row r="17" spans="2:13">
      <c r="B17" s="26">
        <v>14</v>
      </c>
      <c r="C17" s="26">
        <v>45</v>
      </c>
      <c r="D17" s="26">
        <v>14</v>
      </c>
      <c r="E17" s="27">
        <f t="shared" si="0"/>
        <v>163</v>
      </c>
    </row>
    <row r="18" spans="2:13">
      <c r="B18" s="26">
        <v>15</v>
      </c>
      <c r="C18" s="26">
        <v>40</v>
      </c>
      <c r="D18" s="26">
        <v>50</v>
      </c>
      <c r="E18" s="27">
        <f t="shared" si="0"/>
        <v>220</v>
      </c>
    </row>
    <row r="22" spans="2:13">
      <c r="B22" s="8" t="s">
        <v>108</v>
      </c>
    </row>
    <row r="23" spans="2:13">
      <c r="B23" s="31" t="s">
        <v>81</v>
      </c>
      <c r="C23" s="31" t="s">
        <v>1</v>
      </c>
      <c r="D23" s="31" t="s">
        <v>120</v>
      </c>
      <c r="E23" s="31" t="s">
        <v>82</v>
      </c>
      <c r="F23" s="31" t="s">
        <v>83</v>
      </c>
      <c r="G23" s="31" t="s">
        <v>84</v>
      </c>
      <c r="H23" s="3"/>
    </row>
    <row r="24" spans="2:13">
      <c r="B24" s="28">
        <v>1</v>
      </c>
      <c r="C24" s="28" t="s">
        <v>0</v>
      </c>
      <c r="D24" s="29" t="s">
        <v>121</v>
      </c>
      <c r="E24" s="28" t="s">
        <v>110</v>
      </c>
      <c r="F24" s="30">
        <v>82</v>
      </c>
      <c r="G24" s="30">
        <v>77</v>
      </c>
      <c r="H24" s="3"/>
    </row>
    <row r="25" spans="2:13">
      <c r="B25" s="28">
        <v>2</v>
      </c>
      <c r="C25" s="28" t="s">
        <v>86</v>
      </c>
      <c r="D25" s="29" t="s">
        <v>121</v>
      </c>
      <c r="E25" s="28" t="s">
        <v>85</v>
      </c>
      <c r="F25" s="30">
        <v>85</v>
      </c>
      <c r="G25" s="30">
        <v>78</v>
      </c>
      <c r="H25" s="3"/>
      <c r="I25" s="69" t="s">
        <v>111</v>
      </c>
      <c r="J25" s="70"/>
      <c r="K25" s="70"/>
      <c r="L25" s="71"/>
      <c r="M25" s="4" t="s">
        <v>201</v>
      </c>
    </row>
    <row r="26" spans="2:13">
      <c r="B26" s="28">
        <v>3</v>
      </c>
      <c r="C26" s="28" t="s">
        <v>87</v>
      </c>
      <c r="D26" s="29" t="s">
        <v>121</v>
      </c>
      <c r="E26" s="31" t="s">
        <v>88</v>
      </c>
      <c r="F26" s="30">
        <v>91</v>
      </c>
      <c r="G26" s="30">
        <v>70</v>
      </c>
      <c r="H26" s="3"/>
      <c r="I26" s="72" t="str">
        <f>TEXT(DCOUNTA(B23:G46,1,E23:E25),"0건")</f>
        <v>12건</v>
      </c>
      <c r="J26" s="72"/>
      <c r="K26" s="72"/>
      <c r="L26" s="72"/>
      <c r="M26" s="4" t="str">
        <f>TEXT(DCOUNTA(B23:G46,1,E23:E25),"#건")</f>
        <v>12건</v>
      </c>
    </row>
    <row r="27" spans="2:13">
      <c r="B27" s="28">
        <v>4</v>
      </c>
      <c r="C27" s="28" t="s">
        <v>89</v>
      </c>
      <c r="D27" s="29" t="s">
        <v>121</v>
      </c>
      <c r="E27" s="31" t="s">
        <v>88</v>
      </c>
      <c r="F27" s="30">
        <v>92</v>
      </c>
      <c r="G27" s="30">
        <v>78</v>
      </c>
      <c r="H27" s="3"/>
      <c r="I27" s="10"/>
    </row>
    <row r="28" spans="2:13">
      <c r="B28" s="28">
        <v>5</v>
      </c>
      <c r="C28" s="28" t="s">
        <v>90</v>
      </c>
      <c r="D28" s="29" t="s">
        <v>122</v>
      </c>
      <c r="E28" s="28" t="s">
        <v>85</v>
      </c>
      <c r="F28" s="30">
        <v>87</v>
      </c>
      <c r="G28" s="30">
        <v>82</v>
      </c>
      <c r="H28" s="3"/>
      <c r="I28" s="10"/>
    </row>
    <row r="29" spans="2:13">
      <c r="B29" s="28">
        <v>6</v>
      </c>
      <c r="C29" s="28" t="s">
        <v>91</v>
      </c>
      <c r="D29" s="29" t="s">
        <v>122</v>
      </c>
      <c r="E29" s="31" t="s">
        <v>92</v>
      </c>
      <c r="F29" s="32">
        <v>78</v>
      </c>
      <c r="G29" s="30">
        <v>78</v>
      </c>
      <c r="H29" s="3"/>
      <c r="I29" s="10"/>
    </row>
    <row r="30" spans="2:13">
      <c r="B30" s="28">
        <v>7</v>
      </c>
      <c r="C30" s="28" t="s">
        <v>93</v>
      </c>
      <c r="D30" s="29" t="s">
        <v>123</v>
      </c>
      <c r="E30" s="31" t="s">
        <v>92</v>
      </c>
      <c r="F30" s="32">
        <v>77</v>
      </c>
      <c r="G30" s="30">
        <v>82</v>
      </c>
      <c r="H30" s="3"/>
      <c r="I30" s="19" t="s">
        <v>112</v>
      </c>
      <c r="J30" s="23" t="s">
        <v>115</v>
      </c>
    </row>
    <row r="31" spans="2:13">
      <c r="B31" s="28">
        <v>8</v>
      </c>
      <c r="C31" s="28" t="s">
        <v>94</v>
      </c>
      <c r="D31" s="29" t="s">
        <v>122</v>
      </c>
      <c r="E31" s="31" t="s">
        <v>95</v>
      </c>
      <c r="F31" s="32">
        <v>77</v>
      </c>
      <c r="G31" s="30">
        <v>76</v>
      </c>
      <c r="H31" s="3"/>
      <c r="I31" s="19" t="s">
        <v>110</v>
      </c>
      <c r="J31" s="5">
        <f t="array" ref="J31">IFERROR(AVERAGE(IF(($E$24:$E$46=I31)*($G$24:$G$46&gt;=80),$F$24:$F$46)),"해당없음")</f>
        <v>78</v>
      </c>
    </row>
    <row r="32" spans="2:13">
      <c r="B32" s="28">
        <v>9</v>
      </c>
      <c r="C32" s="28" t="s">
        <v>96</v>
      </c>
      <c r="D32" s="29" t="s">
        <v>124</v>
      </c>
      <c r="E32" s="31" t="s">
        <v>88</v>
      </c>
      <c r="F32" s="32">
        <v>96</v>
      </c>
      <c r="G32" s="30">
        <v>78</v>
      </c>
      <c r="H32" s="3"/>
      <c r="I32" s="19" t="s">
        <v>113</v>
      </c>
      <c r="J32" s="5">
        <f t="array" ref="J32">IFERROR(AVERAGE(IF(($E$24:$E$46=I32)*($G$24:$G$46&gt;=80),$F$24:$F$46)),"해당없음")</f>
        <v>87.75</v>
      </c>
    </row>
    <row r="33" spans="2:16">
      <c r="B33" s="28">
        <v>10</v>
      </c>
      <c r="C33" s="28" t="s">
        <v>97</v>
      </c>
      <c r="D33" s="29" t="s">
        <v>125</v>
      </c>
      <c r="E33" s="28" t="s">
        <v>85</v>
      </c>
      <c r="F33" s="32">
        <v>84</v>
      </c>
      <c r="G33" s="30">
        <v>71</v>
      </c>
      <c r="H33" s="3"/>
      <c r="I33" s="19" t="s">
        <v>114</v>
      </c>
      <c r="J33" s="5" t="str">
        <f t="array" ref="J33">IFERROR(AVERAGE(IF(($E$24:$E$46=I33)*($G$24:$G$46&gt;=80),$F$24:$F$46)),"해당없음")</f>
        <v>해당없음</v>
      </c>
    </row>
    <row r="34" spans="2:16">
      <c r="B34" s="28">
        <v>11</v>
      </c>
      <c r="C34" s="28" t="s">
        <v>98</v>
      </c>
      <c r="D34" s="29" t="s">
        <v>123</v>
      </c>
      <c r="E34" s="28" t="s">
        <v>85</v>
      </c>
      <c r="F34" s="32">
        <v>75</v>
      </c>
      <c r="G34" s="30">
        <v>82</v>
      </c>
      <c r="H34" s="3"/>
      <c r="I34" s="19" t="s">
        <v>109</v>
      </c>
      <c r="J34" s="5">
        <f t="array" ref="J34">IFERROR(AVERAGE(IF(($E$24:$E$46=I34)*($G$24:$G$46&gt;=80),$F$24:$F$46)),"해당없음")</f>
        <v>78.666666666666671</v>
      </c>
    </row>
    <row r="35" spans="2:16">
      <c r="B35" s="28">
        <v>12</v>
      </c>
      <c r="C35" s="28" t="s">
        <v>99</v>
      </c>
      <c r="D35" s="29" t="s">
        <v>125</v>
      </c>
      <c r="E35" s="31" t="s">
        <v>95</v>
      </c>
      <c r="F35" s="32">
        <v>72</v>
      </c>
      <c r="G35" s="30">
        <v>80</v>
      </c>
      <c r="H35" s="3"/>
    </row>
    <row r="36" spans="2:16">
      <c r="B36" s="28">
        <v>13</v>
      </c>
      <c r="C36" s="28" t="s">
        <v>100</v>
      </c>
      <c r="D36" s="29" t="s">
        <v>126</v>
      </c>
      <c r="E36" s="31" t="s">
        <v>95</v>
      </c>
      <c r="F36" s="32">
        <v>88</v>
      </c>
      <c r="G36" s="30">
        <v>65</v>
      </c>
      <c r="H36" s="3"/>
    </row>
    <row r="37" spans="2:16">
      <c r="B37" s="28">
        <v>14</v>
      </c>
      <c r="C37" s="28" t="s">
        <v>101</v>
      </c>
      <c r="D37" s="29" t="s">
        <v>126</v>
      </c>
      <c r="E37" s="31" t="s">
        <v>88</v>
      </c>
      <c r="F37" s="32">
        <v>92</v>
      </c>
      <c r="G37" s="30">
        <v>77</v>
      </c>
      <c r="H37" s="3"/>
    </row>
    <row r="38" spans="2:16">
      <c r="B38" s="28">
        <v>15</v>
      </c>
      <c r="C38" s="28" t="s">
        <v>102</v>
      </c>
      <c r="D38" s="29" t="s">
        <v>127</v>
      </c>
      <c r="E38" s="31" t="s">
        <v>95</v>
      </c>
      <c r="F38" s="32">
        <v>84</v>
      </c>
      <c r="G38" s="30">
        <v>67</v>
      </c>
      <c r="H38" s="3"/>
    </row>
    <row r="39" spans="2:16">
      <c r="B39" s="28">
        <v>16</v>
      </c>
      <c r="C39" s="28" t="s">
        <v>103</v>
      </c>
      <c r="D39" s="29" t="s">
        <v>127</v>
      </c>
      <c r="E39" s="28" t="s">
        <v>85</v>
      </c>
      <c r="F39" s="32">
        <v>97</v>
      </c>
      <c r="G39" s="30">
        <v>88</v>
      </c>
      <c r="H39" s="3"/>
    </row>
    <row r="40" spans="2:16">
      <c r="B40" s="28">
        <v>17</v>
      </c>
      <c r="C40" s="28" t="s">
        <v>104</v>
      </c>
      <c r="D40" s="29" t="s">
        <v>123</v>
      </c>
      <c r="E40" s="31" t="s">
        <v>92</v>
      </c>
      <c r="F40" s="32">
        <v>88</v>
      </c>
      <c r="G40" s="30">
        <v>72</v>
      </c>
      <c r="H40" s="3"/>
      <c r="I40" s="4" t="s">
        <v>119</v>
      </c>
      <c r="N40" s="4" t="s">
        <v>202</v>
      </c>
    </row>
    <row r="41" spans="2:16">
      <c r="B41" s="28">
        <v>18</v>
      </c>
      <c r="C41" s="28" t="s">
        <v>105</v>
      </c>
      <c r="D41" s="29" t="s">
        <v>125</v>
      </c>
      <c r="E41" s="31" t="s">
        <v>88</v>
      </c>
      <c r="F41" s="32">
        <v>88</v>
      </c>
      <c r="G41" s="30">
        <v>78</v>
      </c>
      <c r="H41" s="3"/>
      <c r="I41" s="19" t="s">
        <v>112</v>
      </c>
      <c r="J41" s="24" t="s">
        <v>128</v>
      </c>
      <c r="K41" s="24" t="s">
        <v>130</v>
      </c>
      <c r="L41" s="24" t="s">
        <v>129</v>
      </c>
    </row>
    <row r="42" spans="2:16">
      <c r="B42" s="28">
        <v>19</v>
      </c>
      <c r="C42" s="28" t="s">
        <v>106</v>
      </c>
      <c r="D42" s="29" t="s">
        <v>125</v>
      </c>
      <c r="E42" s="31" t="s">
        <v>95</v>
      </c>
      <c r="F42" s="32">
        <v>66</v>
      </c>
      <c r="G42" s="30">
        <v>90</v>
      </c>
      <c r="H42" s="3"/>
      <c r="I42" s="19" t="s">
        <v>110</v>
      </c>
      <c r="J42" s="5">
        <f t="array" ref="J42">SUM(($E$24:$E$46=$I42)*($D$24:$D$46=J$41)*(($F$24:$F$46)+($G$24:$G$46)))</f>
        <v>159</v>
      </c>
      <c r="K42" s="5">
        <f t="array" ref="K42">SUM(($E$24:$E$46=$I42)*($D$24:$D$46=K$41)*(($F$24:$F$46)+($G$24:$G$46)))</f>
        <v>0</v>
      </c>
      <c r="L42" s="5">
        <f t="array" ref="L42">SUM(($E$24:$E$46=$I42)*($D$24:$D$46=L$41)*(($F$24:$F$46)+($G$24:$G$46)))</f>
        <v>156</v>
      </c>
      <c r="N42" s="4">
        <f t="array" ref="N42">SUM(IF(($E$24:$E$46=$I42)*($D$24:$D$46=J$41),(($F$24:$F$46)+($G$24:$G$46))))</f>
        <v>159</v>
      </c>
      <c r="O42" s="4">
        <f t="array" ref="O42">SUM(IF(($E$24:$E$46=$I42)*($D$24:$D$46=K$41),(($F$24:$F$46)+($G$24:$G$46))))</f>
        <v>0</v>
      </c>
      <c r="P42" s="4">
        <f t="array" ref="P42">SUM(IF(($E$24:$E$46=$I42)*($D$24:$D$46=L$41),(($F$24:$F$46)+($G$24:$G$46))))</f>
        <v>156</v>
      </c>
    </row>
    <row r="43" spans="2:16">
      <c r="B43" s="28">
        <v>20</v>
      </c>
      <c r="C43" s="28" t="s">
        <v>107</v>
      </c>
      <c r="D43" s="29" t="s">
        <v>124</v>
      </c>
      <c r="E43" s="28" t="s">
        <v>85</v>
      </c>
      <c r="F43" s="32">
        <v>92</v>
      </c>
      <c r="G43" s="30">
        <v>91</v>
      </c>
      <c r="H43" s="3"/>
      <c r="I43" s="19" t="s">
        <v>113</v>
      </c>
      <c r="J43" s="5">
        <f t="array" ref="J43">SUM(($E$24:$E$46=$I43)*($D$24:$D$46=J$41)*(($F$24:$F$46)+($G$24:$G$46)))</f>
        <v>163</v>
      </c>
      <c r="K43" s="5">
        <f t="array" ref="K43">SUM(($E$24:$E$46=$I43)*($D$24:$D$46=K$41)*(($F$24:$F$46)+($G$24:$G$46)))</f>
        <v>155</v>
      </c>
      <c r="L43" s="5">
        <f t="array" ref="L43">SUM(($E$24:$E$46=$I43)*($D$24:$D$46=L$41)*(($F$24:$F$46)+($G$24:$G$46)))</f>
        <v>169</v>
      </c>
      <c r="N43" s="4">
        <f t="array" ref="N43">SUM(IF(($E$24:$E$46=$I43)*($D$24:$D$46=J$41),(($F$24:$F$46)+($G$24:$G$46))))</f>
        <v>163</v>
      </c>
      <c r="O43" s="4">
        <f t="array" ref="O43">SUM(IF(($E$24:$E$46=$I43)*($D$24:$D$46=K$41),(($F$24:$F$46)+($G$24:$G$46))))</f>
        <v>155</v>
      </c>
      <c r="P43" s="4">
        <f t="array" ref="P43">SUM(IF(($E$24:$E$46=$I43)*($D$24:$D$46=L$41),(($F$24:$F$46)+($G$24:$G$46))))</f>
        <v>169</v>
      </c>
    </row>
    <row r="44" spans="2:16">
      <c r="B44" s="28">
        <v>21</v>
      </c>
      <c r="C44" s="28" t="s">
        <v>116</v>
      </c>
      <c r="D44" s="29" t="s">
        <v>126</v>
      </c>
      <c r="E44" s="31" t="s">
        <v>92</v>
      </c>
      <c r="F44" s="32">
        <v>81</v>
      </c>
      <c r="G44" s="30">
        <v>82</v>
      </c>
      <c r="H44" s="3"/>
      <c r="I44" s="19" t="s">
        <v>114</v>
      </c>
      <c r="J44" s="5">
        <f t="array" ref="J44">SUM(($E$24:$E$46=$I44)*($D$24:$D$46=J$41)*(($F$24:$F$46)+($G$24:$G$46)))</f>
        <v>331</v>
      </c>
      <c r="K44" s="5">
        <f t="array" ref="K44">SUM(($E$24:$E$46=$I44)*($D$24:$D$46=K$41)*(($F$24:$F$46)+($G$24:$G$46)))</f>
        <v>166</v>
      </c>
      <c r="L44" s="5">
        <f t="array" ref="L44">SUM(($E$24:$E$46=$I44)*($D$24:$D$46=L$41)*(($F$24:$F$46)+($G$24:$G$46)))</f>
        <v>0</v>
      </c>
      <c r="N44" s="4">
        <f t="array" ref="N44">SUM(IF(($E$24:$E$46=$I44)*($D$24:$D$46=J$41),(($F$24:$F$46)+($G$24:$G$46))))</f>
        <v>331</v>
      </c>
      <c r="O44" s="4">
        <f t="array" ref="O44">SUM(IF(($E$24:$E$46=$I44)*($D$24:$D$46=K$41),(($F$24:$F$46)+($G$24:$G$46))))</f>
        <v>166</v>
      </c>
      <c r="P44" s="4">
        <f t="array" ref="P44">SUM(IF(($E$24:$E$46=$I44)*($D$24:$D$46=L$41),(($F$24:$F$46)+($G$24:$G$46))))</f>
        <v>0</v>
      </c>
    </row>
    <row r="45" spans="2:16">
      <c r="B45" s="28">
        <v>22</v>
      </c>
      <c r="C45" s="28" t="s">
        <v>117</v>
      </c>
      <c r="D45" s="29" t="s">
        <v>127</v>
      </c>
      <c r="E45" s="31" t="s">
        <v>92</v>
      </c>
      <c r="F45" s="32">
        <v>76</v>
      </c>
      <c r="G45" s="30">
        <v>80</v>
      </c>
      <c r="H45" s="3"/>
      <c r="I45" s="19" t="s">
        <v>109</v>
      </c>
      <c r="J45" s="5">
        <f t="array" ref="J45">SUM(($E$24:$E$46=$I45)*($D$24:$D$46=J$41)*(($F$24:$F$46)+($G$24:$G$46)))</f>
        <v>0</v>
      </c>
      <c r="K45" s="5">
        <f t="array" ref="K45">SUM(($E$24:$E$46=$I45)*($D$24:$D$46=K$41)*(($F$24:$F$46)+($G$24:$G$46)))</f>
        <v>496</v>
      </c>
      <c r="L45" s="5">
        <f t="array" ref="L45">SUM(($E$24:$E$46=$I45)*($D$24:$D$46=L$41)*(($F$24:$F$46)+($G$24:$G$46)))</f>
        <v>153</v>
      </c>
      <c r="N45" s="4">
        <f t="array" ref="N45">SUM(IF(($E$24:$E$46=$I45)*($D$24:$D$46=J$41),(($F$24:$F$46)+($G$24:$G$46))))</f>
        <v>0</v>
      </c>
      <c r="O45" s="4">
        <f t="array" ref="O45">SUM(IF(($E$24:$E$46=$I45)*($D$24:$D$46=K$41),(($F$24:$F$46)+($G$24:$G$46))))</f>
        <v>496</v>
      </c>
      <c r="P45" s="4">
        <f t="array" ref="P45">SUM(IF(($E$24:$E$46=$I45)*($D$24:$D$46=L$41),(($F$24:$F$46)+($G$24:$G$46))))</f>
        <v>153</v>
      </c>
    </row>
    <row r="46" spans="2:16">
      <c r="B46" s="28">
        <v>23</v>
      </c>
      <c r="C46" s="28" t="s">
        <v>118</v>
      </c>
      <c r="D46" s="29" t="s">
        <v>125</v>
      </c>
      <c r="E46" s="31" t="s">
        <v>95</v>
      </c>
      <c r="F46" s="32">
        <v>98</v>
      </c>
      <c r="G46" s="30">
        <v>90</v>
      </c>
      <c r="H46" s="3"/>
      <c r="I46" s="10"/>
    </row>
    <row r="51" spans="2:7">
      <c r="B51" s="8" t="s">
        <v>164</v>
      </c>
    </row>
    <row r="52" spans="2:7">
      <c r="B52" s="11" t="s">
        <v>131</v>
      </c>
      <c r="C52" s="11" t="s">
        <v>132</v>
      </c>
      <c r="D52" s="11" t="s">
        <v>133</v>
      </c>
      <c r="E52" s="11" t="s">
        <v>134</v>
      </c>
      <c r="F52" s="11" t="s">
        <v>135</v>
      </c>
      <c r="G52" s="35" t="s">
        <v>165</v>
      </c>
    </row>
    <row r="53" spans="2:7">
      <c r="B53" s="17" t="s">
        <v>136</v>
      </c>
      <c r="C53" s="17" t="s">
        <v>137</v>
      </c>
      <c r="D53" s="17" t="s">
        <v>138</v>
      </c>
      <c r="E53" s="17" t="s">
        <v>139</v>
      </c>
      <c r="F53" s="33">
        <v>120000</v>
      </c>
      <c r="G53" s="34" t="str">
        <f>FN할인율(F53)</f>
        <v>2%</v>
      </c>
    </row>
    <row r="54" spans="2:7">
      <c r="B54" s="17" t="s">
        <v>140</v>
      </c>
      <c r="C54" s="17" t="s">
        <v>141</v>
      </c>
      <c r="D54" s="17" t="s">
        <v>142</v>
      </c>
      <c r="E54" s="17" t="s">
        <v>143</v>
      </c>
      <c r="F54" s="33">
        <v>80000</v>
      </c>
      <c r="G54" s="34" t="str">
        <f t="shared" ref="G54:G78" si="1">FN할인율(F54)</f>
        <v>2%</v>
      </c>
    </row>
    <row r="55" spans="2:7">
      <c r="B55" s="17" t="s">
        <v>144</v>
      </c>
      <c r="C55" s="17" t="s">
        <v>145</v>
      </c>
      <c r="D55" s="17" t="s">
        <v>146</v>
      </c>
      <c r="E55" s="17" t="s">
        <v>147</v>
      </c>
      <c r="F55" s="33">
        <v>105000</v>
      </c>
      <c r="G55" s="34" t="str">
        <f t="shared" si="1"/>
        <v>2%</v>
      </c>
    </row>
    <row r="56" spans="2:7">
      <c r="B56" s="17" t="s">
        <v>45</v>
      </c>
      <c r="C56" s="17" t="s">
        <v>137</v>
      </c>
      <c r="D56" s="17" t="s">
        <v>148</v>
      </c>
      <c r="E56" s="17" t="s">
        <v>139</v>
      </c>
      <c r="F56" s="33">
        <v>35000</v>
      </c>
      <c r="G56" s="34" t="str">
        <f t="shared" si="1"/>
        <v>2%</v>
      </c>
    </row>
    <row r="57" spans="2:7">
      <c r="B57" s="17" t="s">
        <v>40</v>
      </c>
      <c r="C57" s="17" t="s">
        <v>149</v>
      </c>
      <c r="D57" s="17" t="s">
        <v>146</v>
      </c>
      <c r="E57" s="17" t="s">
        <v>150</v>
      </c>
      <c r="F57" s="33">
        <v>180000</v>
      </c>
      <c r="G57" s="34" t="str">
        <f t="shared" si="1"/>
        <v>2%</v>
      </c>
    </row>
    <row r="58" spans="2:7">
      <c r="B58" s="17" t="s">
        <v>151</v>
      </c>
      <c r="C58" s="17" t="s">
        <v>141</v>
      </c>
      <c r="D58" s="17" t="s">
        <v>152</v>
      </c>
      <c r="E58" s="17" t="s">
        <v>143</v>
      </c>
      <c r="F58" s="33">
        <v>75000</v>
      </c>
      <c r="G58" s="34" t="str">
        <f t="shared" si="1"/>
        <v>2%</v>
      </c>
    </row>
    <row r="59" spans="2:7">
      <c r="B59" s="17" t="s">
        <v>153</v>
      </c>
      <c r="C59" s="17" t="s">
        <v>145</v>
      </c>
      <c r="D59" s="17" t="s">
        <v>148</v>
      </c>
      <c r="E59" s="17" t="s">
        <v>147</v>
      </c>
      <c r="F59" s="33">
        <v>30000</v>
      </c>
      <c r="G59" s="34" t="str">
        <f t="shared" si="1"/>
        <v>2%</v>
      </c>
    </row>
    <row r="60" spans="2:7">
      <c r="B60" s="17" t="s">
        <v>154</v>
      </c>
      <c r="C60" s="17" t="s">
        <v>145</v>
      </c>
      <c r="D60" s="17" t="s">
        <v>138</v>
      </c>
      <c r="E60" s="17" t="s">
        <v>147</v>
      </c>
      <c r="F60" s="33">
        <v>1000000</v>
      </c>
      <c r="G60" s="34" t="str">
        <f t="shared" si="1"/>
        <v>5%</v>
      </c>
    </row>
    <row r="61" spans="2:7">
      <c r="B61" s="17" t="s">
        <v>155</v>
      </c>
      <c r="C61" s="17" t="s">
        <v>141</v>
      </c>
      <c r="D61" s="17" t="s">
        <v>138</v>
      </c>
      <c r="E61" s="17" t="s">
        <v>143</v>
      </c>
      <c r="F61" s="33">
        <v>35000</v>
      </c>
      <c r="G61" s="34" t="str">
        <f t="shared" si="1"/>
        <v>2%</v>
      </c>
    </row>
    <row r="62" spans="2:7">
      <c r="B62" s="17" t="s">
        <v>14</v>
      </c>
      <c r="C62" s="17" t="s">
        <v>137</v>
      </c>
      <c r="D62" s="17" t="s">
        <v>146</v>
      </c>
      <c r="E62" s="17" t="s">
        <v>139</v>
      </c>
      <c r="F62" s="33">
        <v>189000</v>
      </c>
      <c r="G62" s="34" t="str">
        <f t="shared" si="1"/>
        <v>2%</v>
      </c>
    </row>
    <row r="63" spans="2:7">
      <c r="B63" s="17" t="s">
        <v>156</v>
      </c>
      <c r="C63" s="17" t="s">
        <v>141</v>
      </c>
      <c r="D63" s="17" t="s">
        <v>146</v>
      </c>
      <c r="E63" s="17" t="s">
        <v>143</v>
      </c>
      <c r="F63" s="33">
        <v>270000</v>
      </c>
      <c r="G63" s="34" t="str">
        <f t="shared" si="1"/>
        <v>3%</v>
      </c>
    </row>
    <row r="64" spans="2:7">
      <c r="B64" s="17" t="s">
        <v>42</v>
      </c>
      <c r="C64" s="17" t="s">
        <v>149</v>
      </c>
      <c r="D64" s="17" t="s">
        <v>138</v>
      </c>
      <c r="E64" s="17" t="s">
        <v>150</v>
      </c>
      <c r="F64" s="33">
        <v>520000</v>
      </c>
      <c r="G64" s="34" t="str">
        <f t="shared" si="1"/>
        <v>5%</v>
      </c>
    </row>
    <row r="65" spans="2:7">
      <c r="B65" s="17" t="s">
        <v>2</v>
      </c>
      <c r="C65" s="17" t="s">
        <v>145</v>
      </c>
      <c r="D65" s="17" t="s">
        <v>142</v>
      </c>
      <c r="E65" s="17" t="s">
        <v>147</v>
      </c>
      <c r="F65" s="33">
        <v>400000</v>
      </c>
      <c r="G65" s="34" t="str">
        <f t="shared" si="1"/>
        <v>5%</v>
      </c>
    </row>
    <row r="66" spans="2:7">
      <c r="B66" s="17" t="s">
        <v>21</v>
      </c>
      <c r="C66" s="17" t="s">
        <v>137</v>
      </c>
      <c r="D66" s="17" t="s">
        <v>142</v>
      </c>
      <c r="E66" s="17" t="s">
        <v>139</v>
      </c>
      <c r="F66" s="33">
        <v>325000</v>
      </c>
      <c r="G66" s="34" t="str">
        <f t="shared" si="1"/>
        <v>4%</v>
      </c>
    </row>
    <row r="67" spans="2:7">
      <c r="B67" s="17" t="s">
        <v>10</v>
      </c>
      <c r="C67" s="17" t="s">
        <v>149</v>
      </c>
      <c r="D67" s="17" t="s">
        <v>146</v>
      </c>
      <c r="E67" s="17" t="s">
        <v>150</v>
      </c>
      <c r="F67" s="33">
        <v>140000</v>
      </c>
      <c r="G67" s="34" t="str">
        <f t="shared" si="1"/>
        <v>2%</v>
      </c>
    </row>
    <row r="68" spans="2:7">
      <c r="B68" s="17" t="s">
        <v>26</v>
      </c>
      <c r="C68" s="17" t="s">
        <v>137</v>
      </c>
      <c r="D68" s="17" t="s">
        <v>152</v>
      </c>
      <c r="E68" s="17" t="s">
        <v>139</v>
      </c>
      <c r="F68" s="33">
        <v>78000</v>
      </c>
      <c r="G68" s="34" t="str">
        <f t="shared" si="1"/>
        <v>2%</v>
      </c>
    </row>
    <row r="69" spans="2:7">
      <c r="B69" s="17" t="s">
        <v>36</v>
      </c>
      <c r="C69" s="17" t="s">
        <v>149</v>
      </c>
      <c r="D69" s="17" t="s">
        <v>152</v>
      </c>
      <c r="E69" s="17" t="s">
        <v>150</v>
      </c>
      <c r="F69" s="33">
        <v>240000</v>
      </c>
      <c r="G69" s="34" t="str">
        <f t="shared" si="1"/>
        <v>3%</v>
      </c>
    </row>
    <row r="70" spans="2:7">
      <c r="B70" s="17" t="s">
        <v>32</v>
      </c>
      <c r="C70" s="17" t="s">
        <v>157</v>
      </c>
      <c r="D70" s="17" t="s">
        <v>146</v>
      </c>
      <c r="E70" s="17" t="s">
        <v>158</v>
      </c>
      <c r="F70" s="33">
        <v>320000</v>
      </c>
      <c r="G70" s="34" t="str">
        <f t="shared" si="1"/>
        <v>4%</v>
      </c>
    </row>
    <row r="71" spans="2:7">
      <c r="B71" s="17" t="s">
        <v>17</v>
      </c>
      <c r="C71" s="17" t="s">
        <v>157</v>
      </c>
      <c r="D71" s="17" t="s">
        <v>152</v>
      </c>
      <c r="E71" s="17" t="s">
        <v>158</v>
      </c>
      <c r="F71" s="33">
        <v>700000</v>
      </c>
      <c r="G71" s="34" t="str">
        <f t="shared" si="1"/>
        <v>5%</v>
      </c>
    </row>
    <row r="72" spans="2:7">
      <c r="B72" s="17" t="s">
        <v>24</v>
      </c>
      <c r="C72" s="17" t="s">
        <v>149</v>
      </c>
      <c r="D72" s="17" t="s">
        <v>142</v>
      </c>
      <c r="E72" s="17" t="s">
        <v>150</v>
      </c>
      <c r="F72" s="33">
        <v>500000</v>
      </c>
      <c r="G72" s="34" t="str">
        <f t="shared" si="1"/>
        <v>5%</v>
      </c>
    </row>
    <row r="73" spans="2:7">
      <c r="B73" s="17" t="s">
        <v>159</v>
      </c>
      <c r="C73" s="17" t="s">
        <v>157</v>
      </c>
      <c r="D73" s="17" t="s">
        <v>148</v>
      </c>
      <c r="E73" s="17" t="s">
        <v>158</v>
      </c>
      <c r="F73" s="33">
        <v>350000</v>
      </c>
      <c r="G73" s="34" t="str">
        <f t="shared" si="1"/>
        <v>4%</v>
      </c>
    </row>
    <row r="74" spans="2:7">
      <c r="B74" s="17" t="s">
        <v>160</v>
      </c>
      <c r="C74" s="17" t="s">
        <v>157</v>
      </c>
      <c r="D74" s="17" t="s">
        <v>138</v>
      </c>
      <c r="E74" s="17" t="s">
        <v>158</v>
      </c>
      <c r="F74" s="33">
        <v>250000</v>
      </c>
      <c r="G74" s="34" t="str">
        <f t="shared" si="1"/>
        <v>3%</v>
      </c>
    </row>
    <row r="75" spans="2:7">
      <c r="B75" s="17" t="s">
        <v>161</v>
      </c>
      <c r="C75" s="17" t="s">
        <v>157</v>
      </c>
      <c r="D75" s="17" t="s">
        <v>142</v>
      </c>
      <c r="E75" s="17" t="s">
        <v>158</v>
      </c>
      <c r="F75" s="33">
        <v>280000</v>
      </c>
      <c r="G75" s="34" t="str">
        <f t="shared" si="1"/>
        <v>3%</v>
      </c>
    </row>
    <row r="76" spans="2:7">
      <c r="B76" s="17" t="s">
        <v>38</v>
      </c>
      <c r="C76" s="17" t="s">
        <v>149</v>
      </c>
      <c r="D76" s="17" t="s">
        <v>152</v>
      </c>
      <c r="E76" s="17" t="s">
        <v>150</v>
      </c>
      <c r="F76" s="33">
        <v>380000</v>
      </c>
      <c r="G76" s="34" t="str">
        <f t="shared" si="1"/>
        <v>4%</v>
      </c>
    </row>
    <row r="77" spans="2:7">
      <c r="B77" s="17" t="s">
        <v>162</v>
      </c>
      <c r="C77" s="17" t="s">
        <v>157</v>
      </c>
      <c r="D77" s="17" t="s">
        <v>146</v>
      </c>
      <c r="E77" s="17" t="s">
        <v>158</v>
      </c>
      <c r="F77" s="33">
        <v>240000</v>
      </c>
      <c r="G77" s="34" t="str">
        <f t="shared" si="1"/>
        <v>3%</v>
      </c>
    </row>
    <row r="78" spans="2:7">
      <c r="B78" s="17" t="s">
        <v>163</v>
      </c>
      <c r="C78" s="17" t="s">
        <v>145</v>
      </c>
      <c r="D78" s="17" t="s">
        <v>152</v>
      </c>
      <c r="E78" s="17" t="s">
        <v>147</v>
      </c>
      <c r="F78" s="33">
        <v>210000</v>
      </c>
      <c r="G78" s="34" t="str">
        <f t="shared" si="1"/>
        <v>3%</v>
      </c>
    </row>
  </sheetData>
  <mergeCells count="3">
    <mergeCell ref="E2:E3"/>
    <mergeCell ref="I25:L25"/>
    <mergeCell ref="I26:L26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M34"/>
  <sheetViews>
    <sheetView topLeftCell="D1" workbookViewId="0">
      <selection activeCell="L38" sqref="L38"/>
    </sheetView>
  </sheetViews>
  <sheetFormatPr defaultRowHeight="16.5"/>
  <cols>
    <col min="1" max="1" width="3.75" style="3" customWidth="1"/>
    <col min="2" max="2" width="9.625" style="3" customWidth="1"/>
    <col min="3" max="3" width="11.125" style="12" customWidth="1"/>
    <col min="4" max="4" width="9.875" style="12" customWidth="1"/>
    <col min="5" max="5" width="15.625" style="3" customWidth="1"/>
    <col min="6" max="6" width="13" style="3" customWidth="1"/>
    <col min="8" max="8" width="9.375" customWidth="1"/>
    <col min="9" max="9" width="12.125" customWidth="1"/>
    <col min="10" max="15" width="14" customWidth="1"/>
    <col min="16" max="23" width="14.5" customWidth="1"/>
    <col min="24" max="25" width="17.375" customWidth="1"/>
    <col min="26" max="26" width="9.875" customWidth="1"/>
    <col min="27" max="27" width="9.875" bestFit="1" customWidth="1"/>
  </cols>
  <sheetData>
    <row r="2" spans="2:13">
      <c r="B2" s="3" t="s">
        <v>209</v>
      </c>
    </row>
    <row r="3" spans="2:13">
      <c r="B3" s="36" t="s">
        <v>131</v>
      </c>
      <c r="C3" s="36" t="s">
        <v>210</v>
      </c>
      <c r="D3" s="36" t="s">
        <v>211</v>
      </c>
      <c r="E3" s="36" t="s">
        <v>212</v>
      </c>
      <c r="F3" s="36" t="s">
        <v>213</v>
      </c>
      <c r="H3" s="66" t="s">
        <v>203</v>
      </c>
      <c r="I3" t="s" vm="1">
        <v>278</v>
      </c>
    </row>
    <row r="4" spans="2:13">
      <c r="B4" s="37" t="s">
        <v>45</v>
      </c>
      <c r="C4" s="17" t="s">
        <v>137</v>
      </c>
      <c r="D4" s="17" t="s">
        <v>214</v>
      </c>
      <c r="E4" s="17" t="s">
        <v>215</v>
      </c>
      <c r="F4" s="33">
        <v>0</v>
      </c>
    </row>
    <row r="5" spans="2:13">
      <c r="B5" s="37" t="s">
        <v>159</v>
      </c>
      <c r="C5" s="17" t="s">
        <v>157</v>
      </c>
      <c r="D5" s="17" t="s">
        <v>214</v>
      </c>
      <c r="E5" s="17" t="s">
        <v>216</v>
      </c>
      <c r="F5" s="33">
        <v>0</v>
      </c>
      <c r="J5" s="66" t="s">
        <v>6</v>
      </c>
    </row>
    <row r="6" spans="2:13">
      <c r="B6" s="37" t="s">
        <v>153</v>
      </c>
      <c r="C6" s="17" t="s">
        <v>145</v>
      </c>
      <c r="D6" s="17" t="s">
        <v>214</v>
      </c>
      <c r="E6" s="17" t="s">
        <v>166</v>
      </c>
      <c r="F6" s="33">
        <v>30000</v>
      </c>
      <c r="H6" s="66" t="s">
        <v>283</v>
      </c>
      <c r="I6" s="66" t="s">
        <v>208</v>
      </c>
      <c r="J6" t="s">
        <v>16</v>
      </c>
      <c r="K6" t="s">
        <v>19</v>
      </c>
      <c r="L6" t="s">
        <v>205</v>
      </c>
      <c r="M6" t="s">
        <v>204</v>
      </c>
    </row>
    <row r="7" spans="2:13">
      <c r="B7" s="37" t="s">
        <v>136</v>
      </c>
      <c r="C7" s="17" t="s">
        <v>137</v>
      </c>
      <c r="D7" s="17" t="s">
        <v>217</v>
      </c>
      <c r="E7" s="17" t="s">
        <v>215</v>
      </c>
      <c r="F7" s="33">
        <v>120000</v>
      </c>
      <c r="H7" t="s">
        <v>31</v>
      </c>
      <c r="J7" s="54"/>
      <c r="K7" s="54"/>
      <c r="L7" s="54"/>
      <c r="M7" s="54"/>
    </row>
    <row r="8" spans="2:13">
      <c r="B8" s="37" t="s">
        <v>160</v>
      </c>
      <c r="C8" s="17" t="s">
        <v>157</v>
      </c>
      <c r="D8" s="17" t="s">
        <v>217</v>
      </c>
      <c r="E8" s="17" t="s">
        <v>216</v>
      </c>
      <c r="F8" s="33">
        <v>250000</v>
      </c>
      <c r="I8" t="s">
        <v>279</v>
      </c>
      <c r="J8" s="54">
        <v>0</v>
      </c>
      <c r="K8" s="54">
        <v>0</v>
      </c>
      <c r="L8" s="54"/>
      <c r="M8" s="54">
        <v>0</v>
      </c>
    </row>
    <row r="9" spans="2:13">
      <c r="B9" s="37" t="s">
        <v>155</v>
      </c>
      <c r="C9" s="17" t="s">
        <v>141</v>
      </c>
      <c r="D9" s="17" t="s">
        <v>218</v>
      </c>
      <c r="E9" s="17" t="s">
        <v>219</v>
      </c>
      <c r="F9" s="33">
        <v>35000</v>
      </c>
      <c r="I9" t="s">
        <v>282</v>
      </c>
      <c r="J9" s="54">
        <v>0</v>
      </c>
      <c r="K9" s="54">
        <v>0</v>
      </c>
      <c r="L9" s="54"/>
      <c r="M9" s="54">
        <v>0</v>
      </c>
    </row>
    <row r="10" spans="2:13">
      <c r="B10" s="37" t="s">
        <v>42</v>
      </c>
      <c r="C10" s="17" t="s">
        <v>220</v>
      </c>
      <c r="D10" s="17" t="s">
        <v>218</v>
      </c>
      <c r="E10" s="17" t="s">
        <v>221</v>
      </c>
      <c r="F10" s="33">
        <v>520000</v>
      </c>
      <c r="I10" t="s">
        <v>207</v>
      </c>
      <c r="J10" s="53">
        <v>0</v>
      </c>
      <c r="K10" s="53">
        <v>0</v>
      </c>
      <c r="L10" s="53">
        <v>0</v>
      </c>
      <c r="M10" s="53">
        <v>0</v>
      </c>
    </row>
    <row r="11" spans="2:13">
      <c r="B11" s="37" t="s">
        <v>154</v>
      </c>
      <c r="C11" s="17" t="s">
        <v>222</v>
      </c>
      <c r="D11" s="17" t="s">
        <v>218</v>
      </c>
      <c r="E11" s="17" t="s">
        <v>223</v>
      </c>
      <c r="F11" s="33">
        <v>1000000</v>
      </c>
      <c r="J11" s="54"/>
      <c r="K11" s="54"/>
      <c r="L11" s="54"/>
      <c r="M11" s="54"/>
    </row>
    <row r="12" spans="2:13">
      <c r="B12" s="37" t="s">
        <v>26</v>
      </c>
      <c r="C12" s="17" t="s">
        <v>137</v>
      </c>
      <c r="D12" s="17" t="s">
        <v>224</v>
      </c>
      <c r="E12" s="17" t="s">
        <v>225</v>
      </c>
      <c r="F12" s="33">
        <v>78000</v>
      </c>
      <c r="H12" t="s">
        <v>44</v>
      </c>
      <c r="J12" s="54"/>
      <c r="K12" s="54"/>
      <c r="L12" s="54"/>
      <c r="M12" s="54"/>
    </row>
    <row r="13" spans="2:13">
      <c r="B13" s="37" t="s">
        <v>17</v>
      </c>
      <c r="C13" s="17" t="s">
        <v>157</v>
      </c>
      <c r="D13" s="17" t="s">
        <v>224</v>
      </c>
      <c r="E13" s="17" t="s">
        <v>226</v>
      </c>
      <c r="F13" s="33">
        <v>700000</v>
      </c>
      <c r="I13" t="s">
        <v>279</v>
      </c>
      <c r="J13" s="54">
        <v>120000</v>
      </c>
      <c r="K13" s="54">
        <v>250000</v>
      </c>
      <c r="L13" s="54">
        <v>35000</v>
      </c>
      <c r="M13" s="54">
        <v>405000</v>
      </c>
    </row>
    <row r="14" spans="2:13">
      <c r="B14" s="37" t="s">
        <v>151</v>
      </c>
      <c r="C14" s="17" t="s">
        <v>141</v>
      </c>
      <c r="D14" s="17" t="s">
        <v>224</v>
      </c>
      <c r="E14" s="17" t="s">
        <v>219</v>
      </c>
      <c r="F14" s="33">
        <v>75000</v>
      </c>
      <c r="I14" t="s">
        <v>282</v>
      </c>
      <c r="J14" s="54">
        <v>120000</v>
      </c>
      <c r="K14" s="54">
        <v>250000</v>
      </c>
      <c r="L14" s="54">
        <v>35000</v>
      </c>
      <c r="M14" s="54">
        <v>135000</v>
      </c>
    </row>
    <row r="15" spans="2:13">
      <c r="B15" s="37" t="s">
        <v>36</v>
      </c>
      <c r="C15" s="17" t="s">
        <v>220</v>
      </c>
      <c r="D15" s="17" t="s">
        <v>224</v>
      </c>
      <c r="E15" s="17" t="s">
        <v>221</v>
      </c>
      <c r="F15" s="33">
        <v>240000</v>
      </c>
      <c r="I15" t="s">
        <v>207</v>
      </c>
      <c r="J15" s="53">
        <v>0.2294455066921606</v>
      </c>
      <c r="K15" s="53">
        <v>0.13966480446927373</v>
      </c>
      <c r="L15" s="53">
        <v>0.18421052631578946</v>
      </c>
      <c r="M15" s="53">
        <v>0.16180583300039952</v>
      </c>
    </row>
    <row r="16" spans="2:13">
      <c r="B16" s="37" t="s">
        <v>38</v>
      </c>
      <c r="C16" s="17" t="s">
        <v>220</v>
      </c>
      <c r="D16" s="17" t="s">
        <v>224</v>
      </c>
      <c r="E16" s="17" t="s">
        <v>221</v>
      </c>
      <c r="F16" s="33">
        <v>380000</v>
      </c>
      <c r="J16" s="54"/>
      <c r="K16" s="54"/>
      <c r="L16" s="54"/>
      <c r="M16" s="54"/>
    </row>
    <row r="17" spans="2:13">
      <c r="B17" s="37" t="s">
        <v>163</v>
      </c>
      <c r="C17" s="17" t="s">
        <v>222</v>
      </c>
      <c r="D17" s="17" t="s">
        <v>224</v>
      </c>
      <c r="E17" s="17" t="s">
        <v>223</v>
      </c>
      <c r="F17" s="33">
        <v>210000</v>
      </c>
      <c r="H17" t="s">
        <v>20</v>
      </c>
      <c r="J17" s="54"/>
      <c r="K17" s="54"/>
      <c r="L17" s="54"/>
      <c r="M17" s="54"/>
    </row>
    <row r="18" spans="2:13">
      <c r="B18" s="37" t="s">
        <v>21</v>
      </c>
      <c r="C18" s="17" t="s">
        <v>137</v>
      </c>
      <c r="D18" s="17" t="s">
        <v>227</v>
      </c>
      <c r="E18" s="17" t="s">
        <v>225</v>
      </c>
      <c r="F18" s="33">
        <v>325000</v>
      </c>
      <c r="I18" t="s">
        <v>279</v>
      </c>
      <c r="J18" s="54">
        <v>78000</v>
      </c>
      <c r="K18" s="54">
        <v>700000</v>
      </c>
      <c r="L18" s="54">
        <v>75000</v>
      </c>
      <c r="M18" s="54">
        <v>853000</v>
      </c>
    </row>
    <row r="19" spans="2:13">
      <c r="B19" s="37" t="s">
        <v>161</v>
      </c>
      <c r="C19" s="17" t="s">
        <v>157</v>
      </c>
      <c r="D19" s="17" t="s">
        <v>227</v>
      </c>
      <c r="E19" s="17" t="s">
        <v>226</v>
      </c>
      <c r="F19" s="33">
        <v>280000</v>
      </c>
      <c r="I19" t="s">
        <v>282</v>
      </c>
      <c r="J19" s="54">
        <v>78000</v>
      </c>
      <c r="K19" s="54">
        <v>700000</v>
      </c>
      <c r="L19" s="54">
        <v>75000</v>
      </c>
      <c r="M19" s="54">
        <v>284333.33333333331</v>
      </c>
    </row>
    <row r="20" spans="2:13">
      <c r="B20" s="37" t="s">
        <v>140</v>
      </c>
      <c r="C20" s="17" t="s">
        <v>141</v>
      </c>
      <c r="D20" s="17" t="s">
        <v>227</v>
      </c>
      <c r="E20" s="17" t="s">
        <v>219</v>
      </c>
      <c r="F20" s="33">
        <v>80000</v>
      </c>
      <c r="I20" t="s">
        <v>207</v>
      </c>
      <c r="J20" s="53">
        <v>0.14913957934990441</v>
      </c>
      <c r="K20" s="53">
        <v>0.39106145251396646</v>
      </c>
      <c r="L20" s="53">
        <v>0.39473684210526316</v>
      </c>
      <c r="M20" s="53">
        <v>0.34079105073911309</v>
      </c>
    </row>
    <row r="21" spans="2:13">
      <c r="B21" s="37" t="s">
        <v>24</v>
      </c>
      <c r="C21" s="17" t="s">
        <v>220</v>
      </c>
      <c r="D21" s="17" t="s">
        <v>227</v>
      </c>
      <c r="E21" s="17" t="s">
        <v>221</v>
      </c>
      <c r="F21" s="33">
        <v>500000</v>
      </c>
      <c r="J21" s="54"/>
      <c r="K21" s="54"/>
      <c r="L21" s="54"/>
      <c r="M21" s="54"/>
    </row>
    <row r="22" spans="2:13">
      <c r="B22" s="37" t="s">
        <v>2</v>
      </c>
      <c r="C22" s="17" t="s">
        <v>222</v>
      </c>
      <c r="D22" s="17" t="s">
        <v>227</v>
      </c>
      <c r="E22" s="17" t="s">
        <v>223</v>
      </c>
      <c r="F22" s="33">
        <v>400000</v>
      </c>
      <c r="H22" t="s">
        <v>23</v>
      </c>
      <c r="J22" s="54"/>
      <c r="K22" s="54"/>
      <c r="L22" s="54"/>
      <c r="M22" s="54"/>
    </row>
    <row r="23" spans="2:13">
      <c r="B23" s="37" t="s">
        <v>32</v>
      </c>
      <c r="C23" s="17" t="s">
        <v>157</v>
      </c>
      <c r="D23" s="17" t="s">
        <v>228</v>
      </c>
      <c r="E23" s="17" t="s">
        <v>226</v>
      </c>
      <c r="F23" s="33">
        <v>320000</v>
      </c>
      <c r="I23" t="s">
        <v>279</v>
      </c>
      <c r="J23" s="54">
        <v>325000</v>
      </c>
      <c r="K23" s="54">
        <v>280000</v>
      </c>
      <c r="L23" s="54">
        <v>80000</v>
      </c>
      <c r="M23" s="54">
        <v>685000</v>
      </c>
    </row>
    <row r="24" spans="2:13">
      <c r="B24" s="37" t="s">
        <v>162</v>
      </c>
      <c r="C24" s="17" t="s">
        <v>157</v>
      </c>
      <c r="D24" s="17" t="s">
        <v>228</v>
      </c>
      <c r="E24" s="17" t="s">
        <v>226</v>
      </c>
      <c r="F24" s="33">
        <v>240000</v>
      </c>
      <c r="I24" t="s">
        <v>282</v>
      </c>
      <c r="J24" s="54">
        <v>325000</v>
      </c>
      <c r="K24" s="54">
        <v>280000</v>
      </c>
      <c r="L24" s="54">
        <v>80000</v>
      </c>
      <c r="M24" s="54">
        <v>228333.33333333334</v>
      </c>
    </row>
    <row r="25" spans="2:13">
      <c r="B25" s="37" t="s">
        <v>10</v>
      </c>
      <c r="C25" s="17" t="s">
        <v>220</v>
      </c>
      <c r="D25" s="17" t="s">
        <v>228</v>
      </c>
      <c r="E25" s="17" t="s">
        <v>221</v>
      </c>
      <c r="F25" s="33">
        <v>140000</v>
      </c>
      <c r="I25" t="s">
        <v>207</v>
      </c>
      <c r="J25" s="53">
        <v>0.62141491395793502</v>
      </c>
      <c r="K25" s="53">
        <v>0.15642458100558659</v>
      </c>
      <c r="L25" s="53">
        <v>0.42105263157894735</v>
      </c>
      <c r="M25" s="53">
        <v>0.27367159408709546</v>
      </c>
    </row>
    <row r="26" spans="2:13">
      <c r="B26" s="37" t="s">
        <v>14</v>
      </c>
      <c r="C26" s="17" t="s">
        <v>137</v>
      </c>
      <c r="D26" s="17" t="s">
        <v>228</v>
      </c>
      <c r="E26" s="17" t="s">
        <v>221</v>
      </c>
      <c r="F26" s="33">
        <v>189000</v>
      </c>
      <c r="J26" s="54"/>
      <c r="K26" s="54"/>
      <c r="L26" s="54"/>
      <c r="M26" s="54"/>
    </row>
    <row r="27" spans="2:13">
      <c r="B27" s="37" t="s">
        <v>156</v>
      </c>
      <c r="C27" s="17" t="s">
        <v>141</v>
      </c>
      <c r="D27" s="17" t="s">
        <v>228</v>
      </c>
      <c r="E27" s="17" t="s">
        <v>221</v>
      </c>
      <c r="F27" s="33">
        <v>270000</v>
      </c>
      <c r="H27" t="s">
        <v>13</v>
      </c>
      <c r="J27" s="54"/>
      <c r="K27" s="54"/>
      <c r="L27" s="54"/>
      <c r="M27" s="54"/>
    </row>
    <row r="28" spans="2:13">
      <c r="B28" s="37" t="s">
        <v>40</v>
      </c>
      <c r="C28" s="17" t="s">
        <v>220</v>
      </c>
      <c r="D28" s="17" t="s">
        <v>228</v>
      </c>
      <c r="E28" s="17" t="s">
        <v>221</v>
      </c>
      <c r="F28" s="33">
        <v>180000</v>
      </c>
      <c r="I28" t="s">
        <v>279</v>
      </c>
      <c r="J28" s="54"/>
      <c r="K28" s="54">
        <v>560000</v>
      </c>
      <c r="L28" s="54"/>
      <c r="M28" s="54">
        <v>560000</v>
      </c>
    </row>
    <row r="29" spans="2:13">
      <c r="B29" s="37" t="s">
        <v>144</v>
      </c>
      <c r="C29" s="17" t="s">
        <v>222</v>
      </c>
      <c r="D29" s="17" t="s">
        <v>228</v>
      </c>
      <c r="E29" s="17" t="s">
        <v>223</v>
      </c>
      <c r="F29" s="33">
        <v>105000</v>
      </c>
      <c r="I29" t="s">
        <v>282</v>
      </c>
      <c r="J29" s="54"/>
      <c r="K29" s="54">
        <v>280000</v>
      </c>
      <c r="L29" s="54"/>
      <c r="M29" s="54">
        <v>280000</v>
      </c>
    </row>
    <row r="30" spans="2:13">
      <c r="I30" t="s">
        <v>207</v>
      </c>
      <c r="J30" s="53">
        <v>0</v>
      </c>
      <c r="K30" s="53">
        <v>0.31284916201117319</v>
      </c>
      <c r="L30" s="53">
        <v>0</v>
      </c>
      <c r="M30" s="53">
        <v>0.22373152217339193</v>
      </c>
    </row>
    <row r="31" spans="2:13">
      <c r="J31" s="54"/>
      <c r="K31" s="54"/>
      <c r="L31" s="54"/>
      <c r="M31" s="54"/>
    </row>
    <row r="32" spans="2:13">
      <c r="H32" t="s">
        <v>280</v>
      </c>
      <c r="J32" s="54">
        <v>523000</v>
      </c>
      <c r="K32" s="54">
        <v>1790000</v>
      </c>
      <c r="L32" s="54">
        <v>190000</v>
      </c>
      <c r="M32" s="54">
        <v>2503000</v>
      </c>
    </row>
    <row r="33" spans="8:13">
      <c r="H33" t="s">
        <v>281</v>
      </c>
      <c r="J33" s="54">
        <v>130750</v>
      </c>
      <c r="K33" s="54">
        <v>298333.33333333331</v>
      </c>
      <c r="L33" s="54">
        <v>63333.333333333336</v>
      </c>
      <c r="M33" s="54">
        <v>192538.46153846153</v>
      </c>
    </row>
    <row r="34" spans="8:13">
      <c r="H34" t="s">
        <v>206</v>
      </c>
      <c r="J34" s="53">
        <v>1</v>
      </c>
      <c r="K34" s="53">
        <v>1</v>
      </c>
      <c r="L34" s="53">
        <v>1</v>
      </c>
      <c r="M34" s="53">
        <v>1</v>
      </c>
    </row>
  </sheetData>
  <phoneticPr fontId="1" type="noConversion"/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filterMode="1"/>
  <dimension ref="B1:K41"/>
  <sheetViews>
    <sheetView workbookViewId="0">
      <selection activeCell="R23" sqref="R23"/>
    </sheetView>
  </sheetViews>
  <sheetFormatPr defaultRowHeight="16.5"/>
  <cols>
    <col min="1" max="1" width="3.375" customWidth="1"/>
    <col min="5" max="5" width="9" customWidth="1"/>
  </cols>
  <sheetData>
    <row r="1" spans="2:11" s="3" customFormat="1"/>
    <row r="2" spans="2:11" s="3" customFormat="1">
      <c r="B2" s="56" t="s">
        <v>237</v>
      </c>
      <c r="C2" s="56" t="s">
        <v>238</v>
      </c>
      <c r="D2" s="56" t="s">
        <v>131</v>
      </c>
      <c r="E2" s="56" t="s">
        <v>239</v>
      </c>
      <c r="F2" s="56" t="s">
        <v>240</v>
      </c>
      <c r="G2" s="56" t="s">
        <v>241</v>
      </c>
      <c r="H2" s="56" t="s">
        <v>242</v>
      </c>
      <c r="I2" s="56" t="s">
        <v>243</v>
      </c>
      <c r="J2" s="56" t="s">
        <v>244</v>
      </c>
      <c r="K2" s="56" t="s">
        <v>245</v>
      </c>
    </row>
    <row r="3" spans="2:11" s="3" customFormat="1">
      <c r="B3" s="56" t="s">
        <v>255</v>
      </c>
      <c r="C3" s="56" t="s">
        <v>247</v>
      </c>
      <c r="D3" s="56" t="s">
        <v>256</v>
      </c>
      <c r="E3" s="57">
        <v>3</v>
      </c>
      <c r="F3" s="57">
        <v>6</v>
      </c>
      <c r="G3" s="56">
        <v>320</v>
      </c>
      <c r="H3" s="56">
        <v>8</v>
      </c>
      <c r="I3" s="56">
        <v>4</v>
      </c>
      <c r="J3" s="56">
        <v>13</v>
      </c>
      <c r="K3" s="56">
        <v>5</v>
      </c>
    </row>
    <row r="4" spans="2:11" s="3" customFormat="1" hidden="1">
      <c r="B4" s="56" t="s">
        <v>255</v>
      </c>
      <c r="C4" s="56" t="s">
        <v>247</v>
      </c>
      <c r="D4" s="56" t="s">
        <v>257</v>
      </c>
      <c r="E4" s="57">
        <v>4</v>
      </c>
      <c r="F4" s="57">
        <v>5</v>
      </c>
      <c r="G4" s="56">
        <v>300</v>
      </c>
      <c r="H4" s="56">
        <v>7</v>
      </c>
      <c r="I4" s="56">
        <v>3</v>
      </c>
      <c r="J4" s="56">
        <v>19</v>
      </c>
      <c r="K4" s="56">
        <v>2</v>
      </c>
    </row>
    <row r="5" spans="2:11" s="3" customFormat="1">
      <c r="B5" s="56" t="s">
        <v>255</v>
      </c>
      <c r="C5" s="56" t="s">
        <v>247</v>
      </c>
      <c r="D5" s="56" t="s">
        <v>258</v>
      </c>
      <c r="E5" s="57">
        <v>4</v>
      </c>
      <c r="F5" s="57">
        <v>12</v>
      </c>
      <c r="G5" s="56">
        <v>300</v>
      </c>
      <c r="H5" s="56">
        <v>7</v>
      </c>
      <c r="I5" s="56">
        <v>3</v>
      </c>
      <c r="J5" s="56">
        <v>9</v>
      </c>
      <c r="K5" s="56">
        <v>1</v>
      </c>
    </row>
    <row r="6" spans="2:11" s="3" customFormat="1" hidden="1">
      <c r="B6" s="56" t="s">
        <v>255</v>
      </c>
      <c r="C6" s="56" t="s">
        <v>252</v>
      </c>
      <c r="D6" s="56" t="s">
        <v>259</v>
      </c>
      <c r="E6" s="57">
        <v>3</v>
      </c>
      <c r="F6" s="57">
        <v>0</v>
      </c>
      <c r="G6" s="56">
        <v>300</v>
      </c>
      <c r="H6" s="56">
        <v>4</v>
      </c>
      <c r="I6" s="56">
        <v>1</v>
      </c>
      <c r="J6" s="56">
        <v>9</v>
      </c>
      <c r="K6" s="56">
        <v>2</v>
      </c>
    </row>
    <row r="7" spans="2:11" s="3" customFormat="1" hidden="1">
      <c r="B7" s="56" t="s">
        <v>255</v>
      </c>
      <c r="C7" s="56" t="s">
        <v>252</v>
      </c>
      <c r="D7" s="56" t="s">
        <v>260</v>
      </c>
      <c r="E7" s="57">
        <v>2</v>
      </c>
      <c r="F7" s="57">
        <v>3</v>
      </c>
      <c r="G7" s="56">
        <v>270</v>
      </c>
      <c r="H7" s="56">
        <v>7</v>
      </c>
      <c r="I7" s="56">
        <v>7</v>
      </c>
      <c r="J7" s="56">
        <v>15</v>
      </c>
      <c r="K7" s="56">
        <v>4</v>
      </c>
    </row>
    <row r="8" spans="2:11" s="3" customFormat="1" hidden="1">
      <c r="B8" s="56" t="s">
        <v>246</v>
      </c>
      <c r="C8" s="56" t="s">
        <v>247</v>
      </c>
      <c r="D8" s="56" t="s">
        <v>248</v>
      </c>
      <c r="E8" s="57">
        <v>3</v>
      </c>
      <c r="F8" s="57">
        <v>1</v>
      </c>
      <c r="G8" s="56">
        <v>320</v>
      </c>
      <c r="H8" s="56">
        <v>7</v>
      </c>
      <c r="I8" s="56">
        <v>2</v>
      </c>
      <c r="J8" s="56">
        <v>3</v>
      </c>
      <c r="K8" s="56">
        <v>2</v>
      </c>
    </row>
    <row r="9" spans="2:11" s="3" customFormat="1" hidden="1">
      <c r="B9" s="56" t="s">
        <v>246</v>
      </c>
      <c r="C9" s="56" t="s">
        <v>247</v>
      </c>
      <c r="D9" s="56" t="s">
        <v>249</v>
      </c>
      <c r="E9" s="57">
        <v>3</v>
      </c>
      <c r="F9" s="57">
        <v>1</v>
      </c>
      <c r="G9" s="56">
        <v>270</v>
      </c>
      <c r="H9" s="56">
        <v>4</v>
      </c>
      <c r="I9" s="56">
        <v>4</v>
      </c>
      <c r="J9" s="56">
        <v>11</v>
      </c>
      <c r="K9" s="56">
        <v>2</v>
      </c>
    </row>
    <row r="10" spans="2:11" s="3" customFormat="1" hidden="1">
      <c r="B10" s="56" t="s">
        <v>246</v>
      </c>
      <c r="C10" s="56" t="s">
        <v>252</v>
      </c>
      <c r="D10" s="56" t="s">
        <v>253</v>
      </c>
      <c r="E10" s="57">
        <v>3</v>
      </c>
      <c r="F10" s="57">
        <v>5</v>
      </c>
      <c r="G10" s="56">
        <v>270</v>
      </c>
      <c r="H10" s="56">
        <v>8</v>
      </c>
      <c r="I10" s="56">
        <v>3</v>
      </c>
      <c r="J10" s="56">
        <v>14</v>
      </c>
      <c r="K10" s="56">
        <v>4</v>
      </c>
    </row>
    <row r="11" spans="2:11" s="3" customFormat="1" hidden="1">
      <c r="B11" s="56" t="s">
        <v>250</v>
      </c>
      <c r="C11" s="56" t="s">
        <v>247</v>
      </c>
      <c r="D11" s="56" t="s">
        <v>251</v>
      </c>
      <c r="E11" s="57">
        <v>3</v>
      </c>
      <c r="F11" s="57">
        <v>2</v>
      </c>
      <c r="G11" s="56">
        <v>270</v>
      </c>
      <c r="H11" s="56">
        <v>6</v>
      </c>
      <c r="I11" s="56">
        <v>5</v>
      </c>
      <c r="J11" s="56">
        <v>2</v>
      </c>
      <c r="K11" s="56">
        <v>2</v>
      </c>
    </row>
    <row r="12" spans="2:11" s="3" customFormat="1" hidden="1">
      <c r="B12" s="56" t="s">
        <v>250</v>
      </c>
      <c r="C12" s="56" t="s">
        <v>252</v>
      </c>
      <c r="D12" s="56" t="s">
        <v>254</v>
      </c>
      <c r="E12" s="57">
        <v>2</v>
      </c>
      <c r="F12" s="57">
        <v>4</v>
      </c>
      <c r="G12" s="56">
        <v>160</v>
      </c>
      <c r="H12" s="56">
        <v>6</v>
      </c>
      <c r="I12" s="56">
        <v>4</v>
      </c>
      <c r="J12" s="56">
        <v>6</v>
      </c>
      <c r="K12" s="56">
        <v>4</v>
      </c>
    </row>
    <row r="13" spans="2:11" s="3" customFormat="1" hidden="1">
      <c r="B13" s="56" t="s">
        <v>261</v>
      </c>
      <c r="C13" s="56" t="s">
        <v>247</v>
      </c>
      <c r="D13" s="56" t="s">
        <v>262</v>
      </c>
      <c r="E13" s="57">
        <v>4</v>
      </c>
      <c r="F13" s="57">
        <v>1</v>
      </c>
      <c r="G13" s="56">
        <v>160</v>
      </c>
      <c r="H13" s="56">
        <v>6</v>
      </c>
      <c r="I13" s="56">
        <v>9</v>
      </c>
      <c r="J13" s="56">
        <v>4</v>
      </c>
      <c r="K13" s="56">
        <v>11</v>
      </c>
    </row>
    <row r="14" spans="2:11" s="3" customFormat="1" hidden="1">
      <c r="B14" s="56" t="s">
        <v>261</v>
      </c>
      <c r="C14" s="56" t="s">
        <v>247</v>
      </c>
      <c r="D14" s="56" t="s">
        <v>263</v>
      </c>
      <c r="E14" s="57">
        <v>3</v>
      </c>
      <c r="F14" s="57">
        <v>3</v>
      </c>
      <c r="G14" s="56">
        <v>300</v>
      </c>
      <c r="H14" s="56">
        <v>9</v>
      </c>
      <c r="I14" s="56">
        <v>1</v>
      </c>
      <c r="J14" s="56">
        <v>5</v>
      </c>
      <c r="K14" s="56">
        <v>19</v>
      </c>
    </row>
    <row r="15" spans="2:11" s="3" customFormat="1" hidden="1">
      <c r="B15" s="56" t="s">
        <v>261</v>
      </c>
      <c r="C15" s="56" t="s">
        <v>247</v>
      </c>
      <c r="D15" s="56" t="s">
        <v>264</v>
      </c>
      <c r="E15" s="57">
        <v>3</v>
      </c>
      <c r="F15" s="57">
        <v>5</v>
      </c>
      <c r="G15" s="56">
        <v>270</v>
      </c>
      <c r="H15" s="56">
        <v>2</v>
      </c>
      <c r="I15" s="56">
        <v>5</v>
      </c>
      <c r="J15" s="56">
        <v>7</v>
      </c>
      <c r="K15" s="56">
        <v>2</v>
      </c>
    </row>
    <row r="16" spans="2:11" s="3" customFormat="1">
      <c r="B16" s="56" t="s">
        <v>261</v>
      </c>
      <c r="C16" s="56" t="s">
        <v>247</v>
      </c>
      <c r="D16" s="56" t="s">
        <v>265</v>
      </c>
      <c r="E16" s="57">
        <v>4</v>
      </c>
      <c r="F16" s="57">
        <v>0</v>
      </c>
      <c r="G16" s="56">
        <v>270</v>
      </c>
      <c r="H16" s="56">
        <v>5</v>
      </c>
      <c r="I16" s="56">
        <v>6</v>
      </c>
      <c r="J16" s="56">
        <v>12</v>
      </c>
      <c r="K16" s="56">
        <v>5</v>
      </c>
    </row>
    <row r="17" spans="2:11" s="3" customFormat="1" hidden="1">
      <c r="B17" s="56" t="s">
        <v>261</v>
      </c>
      <c r="C17" s="56" t="s">
        <v>252</v>
      </c>
      <c r="D17" s="56" t="s">
        <v>266</v>
      </c>
      <c r="E17" s="57">
        <v>3</v>
      </c>
      <c r="F17" s="57">
        <v>5</v>
      </c>
      <c r="G17" s="56">
        <v>270</v>
      </c>
      <c r="H17" s="56">
        <v>3</v>
      </c>
      <c r="I17" s="56">
        <v>5</v>
      </c>
      <c r="J17" s="56">
        <v>8</v>
      </c>
      <c r="K17" s="56">
        <v>3</v>
      </c>
    </row>
    <row r="18" spans="2:11" s="3" customFormat="1">
      <c r="B18" s="56" t="s">
        <v>261</v>
      </c>
      <c r="C18" s="56" t="s">
        <v>252</v>
      </c>
      <c r="D18" s="56" t="s">
        <v>267</v>
      </c>
      <c r="E18" s="57">
        <v>3</v>
      </c>
      <c r="F18" s="57">
        <v>2</v>
      </c>
      <c r="G18" s="56">
        <v>300</v>
      </c>
      <c r="H18" s="56">
        <v>1</v>
      </c>
      <c r="I18" s="56">
        <v>6</v>
      </c>
      <c r="J18" s="56">
        <v>17</v>
      </c>
      <c r="K18" s="56">
        <v>6</v>
      </c>
    </row>
    <row r="19" spans="2:11" s="3" customFormat="1"/>
    <row r="30" spans="2:11">
      <c r="B30" s="8" t="s">
        <v>108</v>
      </c>
      <c r="C30" s="9"/>
      <c r="D30" s="3"/>
      <c r="E30" s="3"/>
      <c r="F30" s="3"/>
      <c r="G30" s="3"/>
    </row>
    <row r="31" spans="2:11">
      <c r="B31" s="31" t="s">
        <v>81</v>
      </c>
      <c r="C31" s="31" t="s">
        <v>1</v>
      </c>
      <c r="D31" s="31" t="s">
        <v>120</v>
      </c>
      <c r="E31" s="31" t="s">
        <v>82</v>
      </c>
      <c r="F31" s="31" t="s">
        <v>83</v>
      </c>
      <c r="G31" s="31" t="s">
        <v>84</v>
      </c>
    </row>
    <row r="32" spans="2:11">
      <c r="B32" s="28">
        <v>1</v>
      </c>
      <c r="C32" s="28" t="s">
        <v>0</v>
      </c>
      <c r="D32" s="29" t="s">
        <v>121</v>
      </c>
      <c r="E32" s="28" t="s">
        <v>110</v>
      </c>
      <c r="F32" s="30">
        <v>82</v>
      </c>
      <c r="G32" s="30">
        <v>77</v>
      </c>
      <c r="J32" t="s">
        <v>272</v>
      </c>
    </row>
    <row r="33" spans="2:10">
      <c r="B33" s="28">
        <v>2</v>
      </c>
      <c r="C33" s="28" t="s">
        <v>86</v>
      </c>
      <c r="D33" s="29" t="s">
        <v>121</v>
      </c>
      <c r="E33" s="28" t="s">
        <v>85</v>
      </c>
      <c r="F33" s="30">
        <v>85</v>
      </c>
      <c r="G33" s="30">
        <v>78</v>
      </c>
      <c r="J33" t="s">
        <v>273</v>
      </c>
    </row>
    <row r="34" spans="2:10">
      <c r="B34" s="28">
        <v>3</v>
      </c>
      <c r="C34" s="28" t="s">
        <v>87</v>
      </c>
      <c r="D34" s="29" t="s">
        <v>121</v>
      </c>
      <c r="E34" s="31" t="s">
        <v>88</v>
      </c>
      <c r="F34" s="30">
        <v>91</v>
      </c>
      <c r="G34" s="30">
        <v>70</v>
      </c>
      <c r="J34" t="s">
        <v>274</v>
      </c>
    </row>
    <row r="35" spans="2:10">
      <c r="B35" s="28">
        <v>4</v>
      </c>
      <c r="C35" s="28" t="s">
        <v>89</v>
      </c>
      <c r="D35" s="29" t="s">
        <v>121</v>
      </c>
      <c r="E35" s="31" t="s">
        <v>88</v>
      </c>
      <c r="F35" s="30">
        <v>92</v>
      </c>
      <c r="G35" s="30">
        <v>78</v>
      </c>
      <c r="J35" t="s">
        <v>275</v>
      </c>
    </row>
    <row r="36" spans="2:10">
      <c r="B36" s="28">
        <v>5</v>
      </c>
      <c r="C36" s="28" t="s">
        <v>90</v>
      </c>
      <c r="D36" s="29" t="s">
        <v>122</v>
      </c>
      <c r="E36" s="28" t="s">
        <v>85</v>
      </c>
      <c r="F36" s="30">
        <v>87</v>
      </c>
      <c r="G36" s="30">
        <v>82</v>
      </c>
      <c r="J36" t="s">
        <v>276</v>
      </c>
    </row>
    <row r="37" spans="2:10">
      <c r="B37" s="28">
        <v>6</v>
      </c>
      <c r="C37" s="28" t="s">
        <v>91</v>
      </c>
      <c r="D37" s="29" t="s">
        <v>122</v>
      </c>
      <c r="E37" s="31" t="s">
        <v>92</v>
      </c>
      <c r="F37" s="32">
        <v>78</v>
      </c>
      <c r="G37" s="30">
        <v>78</v>
      </c>
      <c r="J37" t="s">
        <v>277</v>
      </c>
    </row>
    <row r="38" spans="2:10">
      <c r="B38" s="28">
        <v>7</v>
      </c>
      <c r="C38" s="28" t="s">
        <v>93</v>
      </c>
      <c r="D38" s="29" t="s">
        <v>123</v>
      </c>
      <c r="E38" s="31" t="s">
        <v>92</v>
      </c>
      <c r="F38" s="32">
        <v>77</v>
      </c>
      <c r="G38" s="30">
        <v>82</v>
      </c>
    </row>
    <row r="39" spans="2:10">
      <c r="B39" s="28">
        <v>8</v>
      </c>
      <c r="C39" s="28" t="s">
        <v>94</v>
      </c>
      <c r="D39" s="29" t="s">
        <v>122</v>
      </c>
      <c r="E39" s="31" t="s">
        <v>95</v>
      </c>
      <c r="F39" s="32">
        <v>77</v>
      </c>
      <c r="G39" s="30">
        <v>76</v>
      </c>
    </row>
    <row r="40" spans="2:10">
      <c r="B40" s="28">
        <v>9</v>
      </c>
      <c r="C40" s="28" t="s">
        <v>96</v>
      </c>
      <c r="D40" s="29" t="s">
        <v>124</v>
      </c>
      <c r="E40" s="31" t="s">
        <v>88</v>
      </c>
      <c r="F40" s="32">
        <v>96</v>
      </c>
      <c r="G40" s="30">
        <v>78</v>
      </c>
    </row>
    <row r="41" spans="2:10">
      <c r="B41" s="28">
        <v>10</v>
      </c>
      <c r="C41" s="28" t="s">
        <v>97</v>
      </c>
      <c r="D41" s="29" t="s">
        <v>125</v>
      </c>
      <c r="E41" s="28" t="s">
        <v>85</v>
      </c>
      <c r="F41" s="32">
        <v>84</v>
      </c>
      <c r="G41" s="30">
        <v>71</v>
      </c>
    </row>
  </sheetData>
  <autoFilter ref="B2:K18">
    <filterColumn colId="0">
      <filters>
        <filter val="경영학과"/>
        <filter val="비서학과"/>
      </filters>
    </filterColumn>
    <filterColumn colId="2">
      <customFilters>
        <customFilter val="이*"/>
      </customFilters>
    </filterColumn>
  </autoFilter>
  <phoneticPr fontId="1" type="noConversion"/>
  <dataValidations count="1">
    <dataValidation type="list" allowBlank="1" showInputMessage="1" showErrorMessage="1" sqref="D32:D41">
      <formula1>$J$32:$J$37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K8"/>
  <sheetViews>
    <sheetView topLeftCell="B7" workbookViewId="0">
      <selection activeCell="H42" sqref="H42"/>
    </sheetView>
  </sheetViews>
  <sheetFormatPr defaultRowHeight="16.5"/>
  <cols>
    <col min="1" max="1" width="7.875" style="39" customWidth="1"/>
    <col min="2" max="2" width="12.25" style="39" customWidth="1"/>
    <col min="3" max="3" width="11.75" style="39" customWidth="1"/>
    <col min="4" max="4" width="10.375" style="39" customWidth="1"/>
    <col min="5" max="6" width="9" style="39"/>
    <col min="7" max="7" width="11.5" style="39" bestFit="1" customWidth="1"/>
    <col min="8" max="11" width="9" style="39"/>
  </cols>
  <sheetData>
    <row r="2" spans="2:7" ht="26.25">
      <c r="B2" s="73" t="s">
        <v>169</v>
      </c>
      <c r="C2" s="73"/>
      <c r="D2" s="73"/>
      <c r="E2" s="73"/>
      <c r="F2" s="73"/>
      <c r="G2" s="73"/>
    </row>
    <row r="3" spans="2:7">
      <c r="B3" s="40" t="s">
        <v>229</v>
      </c>
      <c r="C3" s="40" t="s">
        <v>230</v>
      </c>
      <c r="D3" s="40" t="s">
        <v>231</v>
      </c>
      <c r="E3" s="40" t="s">
        <v>232</v>
      </c>
      <c r="F3" s="40" t="s">
        <v>233</v>
      </c>
      <c r="G3" s="40" t="s">
        <v>234</v>
      </c>
    </row>
    <row r="4" spans="2:7">
      <c r="B4" s="41" t="s">
        <v>167</v>
      </c>
      <c r="C4" s="42">
        <v>120000</v>
      </c>
      <c r="D4" s="42">
        <v>325000</v>
      </c>
      <c r="E4" s="42">
        <v>35000</v>
      </c>
      <c r="F4" s="42">
        <v>78000</v>
      </c>
      <c r="G4" s="42">
        <f>SUM(C4:F4)</f>
        <v>558000</v>
      </c>
    </row>
    <row r="5" spans="2:7">
      <c r="B5" s="41" t="s">
        <v>235</v>
      </c>
      <c r="C5" s="42">
        <v>250000</v>
      </c>
      <c r="D5" s="42">
        <v>280000</v>
      </c>
      <c r="E5" s="42">
        <v>350000</v>
      </c>
      <c r="F5" s="42">
        <v>700000</v>
      </c>
      <c r="G5" s="42">
        <f>SUM(C5:F5)</f>
        <v>1580000</v>
      </c>
    </row>
    <row r="6" spans="2:7">
      <c r="B6" s="41" t="s">
        <v>168</v>
      </c>
      <c r="C6" s="42">
        <v>35000</v>
      </c>
      <c r="D6" s="42">
        <v>80000</v>
      </c>
      <c r="E6" s="42">
        <v>0</v>
      </c>
      <c r="F6" s="42">
        <v>75000</v>
      </c>
      <c r="G6" s="42">
        <f>SUM(C6:F6)</f>
        <v>190000</v>
      </c>
    </row>
    <row r="7" spans="2:7">
      <c r="B7" s="41" t="s">
        <v>236</v>
      </c>
      <c r="C7" s="42">
        <v>30000</v>
      </c>
      <c r="D7" s="42">
        <v>500000</v>
      </c>
      <c r="E7" s="42">
        <v>0</v>
      </c>
      <c r="F7" s="42">
        <v>620000</v>
      </c>
      <c r="G7" s="42">
        <f>SUM(C7:F7)</f>
        <v>1150000</v>
      </c>
    </row>
    <row r="8" spans="2:7">
      <c r="B8" s="41" t="s">
        <v>166</v>
      </c>
      <c r="C8" s="42">
        <v>1000000</v>
      </c>
      <c r="D8" s="42">
        <v>400000</v>
      </c>
      <c r="E8" s="42">
        <v>30000</v>
      </c>
      <c r="F8" s="42">
        <v>10000</v>
      </c>
      <c r="G8" s="42">
        <f>SUM(C8:F8)</f>
        <v>1440000</v>
      </c>
    </row>
  </sheetData>
  <mergeCells count="1">
    <mergeCell ref="B2:G2"/>
  </mergeCells>
  <phoneticPr fontId="1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2:J51"/>
  <sheetViews>
    <sheetView topLeftCell="A29" workbookViewId="0">
      <selection activeCell="E37" sqref="E37"/>
    </sheetView>
  </sheetViews>
  <sheetFormatPr defaultRowHeight="16.5"/>
  <cols>
    <col min="1" max="2" width="9" style="3"/>
    <col min="3" max="3" width="13.25" style="3" customWidth="1"/>
    <col min="4" max="4" width="9" style="12"/>
    <col min="5" max="6" width="9" style="3"/>
    <col min="7" max="10" width="15" style="3" customWidth="1"/>
    <col min="11" max="16384" width="9" style="3"/>
  </cols>
  <sheetData>
    <row r="2" spans="2:10">
      <c r="B2" s="38" t="s">
        <v>268</v>
      </c>
      <c r="C2" s="58">
        <v>0.05</v>
      </c>
      <c r="E2"/>
      <c r="F2"/>
      <c r="G2" s="74" t="s">
        <v>269</v>
      </c>
      <c r="H2" s="74"/>
      <c r="I2" s="74"/>
      <c r="J2" s="74"/>
    </row>
    <row r="3" spans="2:10">
      <c r="B3" s="38" t="s">
        <v>269</v>
      </c>
      <c r="C3" s="59">
        <v>3</v>
      </c>
      <c r="E3"/>
      <c r="F3" s="65">
        <f>C5</f>
        <v>486456.05304565374</v>
      </c>
      <c r="G3" s="56">
        <v>1</v>
      </c>
      <c r="H3" s="56">
        <v>2</v>
      </c>
      <c r="I3" s="56">
        <v>3</v>
      </c>
      <c r="J3" s="56">
        <v>4</v>
      </c>
    </row>
    <row r="4" spans="2:10">
      <c r="B4" s="38" t="s">
        <v>270</v>
      </c>
      <c r="C4" s="59">
        <v>12552.624090749372</v>
      </c>
      <c r="E4" s="74" t="s">
        <v>268</v>
      </c>
      <c r="F4" s="60">
        <v>0.05</v>
      </c>
      <c r="G4" s="61">
        <f t="dataTable" ref="G4:J9" dt2D="1" dtr="1" r1="C3" r2="C2"/>
        <v>154131.8572508895</v>
      </c>
      <c r="H4" s="61">
        <v>316149.39284277085</v>
      </c>
      <c r="I4" s="61">
        <v>486456.05304565374</v>
      </c>
      <c r="J4" s="61">
        <v>665475.92520641617</v>
      </c>
    </row>
    <row r="5" spans="2:10">
      <c r="B5" s="62" t="s">
        <v>271</v>
      </c>
      <c r="C5" s="63">
        <f>FV(C2/12,C3*12,-C4,0,0)</f>
        <v>486456.05304565374</v>
      </c>
      <c r="E5" s="74"/>
      <c r="F5" s="60">
        <v>0.06</v>
      </c>
      <c r="G5" s="64">
        <v>154843.67741500004</v>
      </c>
      <c r="H5" s="64">
        <v>319237.77403400984</v>
      </c>
      <c r="I5" s="64">
        <v>493771.33881592005</v>
      </c>
      <c r="J5" s="64">
        <v>679069.75197048963</v>
      </c>
    </row>
    <row r="6" spans="2:10">
      <c r="E6" s="74"/>
      <c r="F6" s="60">
        <v>7.0000000000000007E-2</v>
      </c>
      <c r="G6" s="64">
        <v>155559.46465340685</v>
      </c>
      <c r="H6" s="64">
        <v>322364.3355845614</v>
      </c>
      <c r="I6" s="64">
        <v>501227.54412254295</v>
      </c>
      <c r="J6" s="64">
        <v>693020.78846794087</v>
      </c>
    </row>
    <row r="7" spans="2:10">
      <c r="E7" s="74"/>
      <c r="F7" s="60">
        <v>0.08</v>
      </c>
      <c r="G7" s="64">
        <v>156279.24130083996</v>
      </c>
      <c r="H7" s="64">
        <v>325529.58255390177</v>
      </c>
      <c r="I7" s="64">
        <v>508827.61865797004</v>
      </c>
      <c r="J7" s="64">
        <v>707339.30135746149</v>
      </c>
    </row>
    <row r="8" spans="2:10">
      <c r="E8" s="74"/>
      <c r="F8" s="60">
        <v>0.09</v>
      </c>
      <c r="G8" s="64">
        <v>157003.02981110112</v>
      </c>
      <c r="H8" s="64">
        <v>328734.02677372628</v>
      </c>
      <c r="I8" s="64">
        <v>516574.57579536067</v>
      </c>
      <c r="J8" s="64">
        <v>722035.86397752922</v>
      </c>
    </row>
    <row r="9" spans="2:10">
      <c r="E9" s="74"/>
      <c r="F9" s="60">
        <v>0.1</v>
      </c>
      <c r="G9" s="64">
        <v>157730.85275758634</v>
      </c>
      <c r="H9" s="64">
        <v>331978.18693755084</v>
      </c>
      <c r="I9" s="64">
        <v>524471.49397296796</v>
      </c>
      <c r="J9" s="64">
        <v>737121.3656499834</v>
      </c>
    </row>
    <row r="30" spans="2:7">
      <c r="B30" s="8" t="s">
        <v>108</v>
      </c>
      <c r="C30" s="9"/>
      <c r="D30" s="3"/>
    </row>
    <row r="31" spans="2:7">
      <c r="B31" s="31" t="s">
        <v>81</v>
      </c>
      <c r="C31" s="31" t="s">
        <v>1</v>
      </c>
      <c r="D31" s="31" t="s">
        <v>120</v>
      </c>
      <c r="E31" s="31" t="s">
        <v>82</v>
      </c>
      <c r="F31" s="31" t="s">
        <v>83</v>
      </c>
      <c r="G31" s="31" t="s">
        <v>84</v>
      </c>
    </row>
    <row r="32" spans="2:7">
      <c r="B32" s="28">
        <v>1</v>
      </c>
      <c r="C32" s="28" t="s">
        <v>0</v>
      </c>
      <c r="D32" s="29" t="s">
        <v>121</v>
      </c>
      <c r="E32" s="28" t="s">
        <v>110</v>
      </c>
      <c r="F32" s="30">
        <v>82</v>
      </c>
      <c r="G32" s="30">
        <v>77</v>
      </c>
    </row>
    <row r="33" spans="2:7">
      <c r="B33" s="28">
        <v>2</v>
      </c>
      <c r="C33" s="28" t="s">
        <v>86</v>
      </c>
      <c r="D33" s="29" t="s">
        <v>121</v>
      </c>
      <c r="E33" s="28" t="s">
        <v>85</v>
      </c>
      <c r="F33" s="30">
        <v>85</v>
      </c>
      <c r="G33" s="30">
        <v>78</v>
      </c>
    </row>
    <row r="34" spans="2:7">
      <c r="B34" s="28">
        <v>3</v>
      </c>
      <c r="C34" s="28" t="s">
        <v>87</v>
      </c>
      <c r="D34" s="29" t="s">
        <v>121</v>
      </c>
      <c r="E34" s="31" t="s">
        <v>88</v>
      </c>
      <c r="F34" s="30">
        <v>91</v>
      </c>
      <c r="G34" s="30">
        <v>70</v>
      </c>
    </row>
    <row r="35" spans="2:7">
      <c r="B35" s="28">
        <v>4</v>
      </c>
      <c r="C35" s="28" t="s">
        <v>89</v>
      </c>
      <c r="D35" s="29" t="s">
        <v>121</v>
      </c>
      <c r="E35" s="31" t="s">
        <v>88</v>
      </c>
      <c r="F35" s="30">
        <v>92</v>
      </c>
      <c r="G35" s="30">
        <v>78</v>
      </c>
    </row>
    <row r="36" spans="2:7">
      <c r="B36" s="28">
        <v>5</v>
      </c>
      <c r="C36" s="28" t="s">
        <v>90</v>
      </c>
      <c r="D36" s="29" t="s">
        <v>122</v>
      </c>
      <c r="E36" s="28" t="s">
        <v>85</v>
      </c>
      <c r="F36" s="30">
        <v>87</v>
      </c>
      <c r="G36" s="30">
        <v>82</v>
      </c>
    </row>
    <row r="37" spans="2:7">
      <c r="B37" s="28">
        <v>6</v>
      </c>
      <c r="C37" s="28" t="s">
        <v>91</v>
      </c>
      <c r="D37" s="29" t="s">
        <v>122</v>
      </c>
      <c r="E37" s="31" t="s">
        <v>92</v>
      </c>
      <c r="F37" s="32">
        <v>78</v>
      </c>
      <c r="G37" s="30">
        <v>78</v>
      </c>
    </row>
    <row r="38" spans="2:7">
      <c r="B38" s="28">
        <v>7</v>
      </c>
      <c r="C38" s="28" t="s">
        <v>93</v>
      </c>
      <c r="D38" s="29" t="s">
        <v>123</v>
      </c>
      <c r="E38" s="31" t="s">
        <v>92</v>
      </c>
      <c r="F38" s="32">
        <v>77</v>
      </c>
      <c r="G38" s="30">
        <v>82</v>
      </c>
    </row>
    <row r="39" spans="2:7">
      <c r="B39" s="28">
        <v>8</v>
      </c>
      <c r="C39" s="28" t="s">
        <v>94</v>
      </c>
      <c r="D39" s="29" t="s">
        <v>122</v>
      </c>
      <c r="E39" s="31" t="s">
        <v>95</v>
      </c>
      <c r="F39" s="32">
        <v>77</v>
      </c>
      <c r="G39" s="30">
        <v>76</v>
      </c>
    </row>
    <row r="40" spans="2:7">
      <c r="B40" s="28">
        <v>9</v>
      </c>
      <c r="C40" s="28" t="s">
        <v>96</v>
      </c>
      <c r="D40" s="29" t="s">
        <v>124</v>
      </c>
      <c r="E40" s="31" t="s">
        <v>88</v>
      </c>
      <c r="F40" s="32">
        <v>96</v>
      </c>
      <c r="G40" s="30">
        <v>78</v>
      </c>
    </row>
    <row r="41" spans="2:7">
      <c r="B41" s="28">
        <v>10</v>
      </c>
      <c r="C41" s="28" t="s">
        <v>97</v>
      </c>
      <c r="D41" s="29" t="s">
        <v>125</v>
      </c>
      <c r="E41" s="28" t="s">
        <v>85</v>
      </c>
      <c r="F41" s="32">
        <v>84</v>
      </c>
      <c r="G41" s="30">
        <v>71</v>
      </c>
    </row>
    <row r="42" spans="2:7">
      <c r="B42" s="28">
        <v>11</v>
      </c>
      <c r="C42" s="28" t="s">
        <v>98</v>
      </c>
      <c r="D42" s="29" t="s">
        <v>123</v>
      </c>
      <c r="E42" s="28" t="s">
        <v>85</v>
      </c>
      <c r="F42" s="32">
        <v>75</v>
      </c>
      <c r="G42" s="30">
        <v>82</v>
      </c>
    </row>
    <row r="43" spans="2:7">
      <c r="B43" s="28">
        <v>12</v>
      </c>
      <c r="C43" s="28" t="s">
        <v>99</v>
      </c>
      <c r="D43" s="29" t="s">
        <v>125</v>
      </c>
      <c r="E43" s="31" t="s">
        <v>95</v>
      </c>
      <c r="F43" s="32">
        <v>72</v>
      </c>
      <c r="G43" s="30">
        <v>80</v>
      </c>
    </row>
    <row r="44" spans="2:7">
      <c r="B44" s="28">
        <v>13</v>
      </c>
      <c r="C44" s="28" t="s">
        <v>100</v>
      </c>
      <c r="D44" s="29" t="s">
        <v>126</v>
      </c>
      <c r="E44" s="31" t="s">
        <v>95</v>
      </c>
      <c r="F44" s="32">
        <v>88</v>
      </c>
      <c r="G44" s="30">
        <v>65</v>
      </c>
    </row>
    <row r="45" spans="2:7">
      <c r="B45" s="28">
        <v>14</v>
      </c>
      <c r="C45" s="28" t="s">
        <v>101</v>
      </c>
      <c r="D45" s="29" t="s">
        <v>126</v>
      </c>
      <c r="E45" s="31" t="s">
        <v>88</v>
      </c>
      <c r="F45" s="32">
        <v>92</v>
      </c>
      <c r="G45" s="30">
        <v>77</v>
      </c>
    </row>
    <row r="46" spans="2:7">
      <c r="B46" s="28">
        <v>15</v>
      </c>
      <c r="C46" s="28" t="s">
        <v>102</v>
      </c>
      <c r="D46" s="29" t="s">
        <v>127</v>
      </c>
      <c r="E46" s="31" t="s">
        <v>95</v>
      </c>
      <c r="F46" s="32">
        <v>84</v>
      </c>
      <c r="G46" s="30">
        <v>67</v>
      </c>
    </row>
    <row r="47" spans="2:7">
      <c r="B47" s="28">
        <v>16</v>
      </c>
      <c r="C47" s="28" t="s">
        <v>103</v>
      </c>
      <c r="D47" s="29" t="s">
        <v>127</v>
      </c>
      <c r="E47" s="28" t="s">
        <v>85</v>
      </c>
      <c r="F47" s="32">
        <v>97</v>
      </c>
      <c r="G47" s="30">
        <v>88</v>
      </c>
    </row>
    <row r="48" spans="2:7">
      <c r="B48" s="28">
        <v>17</v>
      </c>
      <c r="C48" s="28" t="s">
        <v>104</v>
      </c>
      <c r="D48" s="29" t="s">
        <v>123</v>
      </c>
      <c r="E48" s="31" t="s">
        <v>92</v>
      </c>
      <c r="F48" s="32">
        <v>88</v>
      </c>
      <c r="G48" s="30">
        <v>72</v>
      </c>
    </row>
    <row r="49" spans="2:7">
      <c r="B49" s="28">
        <v>18</v>
      </c>
      <c r="C49" s="28" t="s">
        <v>105</v>
      </c>
      <c r="D49" s="29" t="s">
        <v>125</v>
      </c>
      <c r="E49" s="31" t="s">
        <v>88</v>
      </c>
      <c r="F49" s="32">
        <v>88</v>
      </c>
      <c r="G49" s="30">
        <v>78</v>
      </c>
    </row>
    <row r="50" spans="2:7">
      <c r="B50" s="28">
        <v>19</v>
      </c>
      <c r="C50" s="28" t="s">
        <v>106</v>
      </c>
      <c r="D50" s="29" t="s">
        <v>125</v>
      </c>
      <c r="E50" s="31" t="s">
        <v>95</v>
      </c>
      <c r="F50" s="32">
        <v>66</v>
      </c>
      <c r="G50" s="30">
        <v>90</v>
      </c>
    </row>
    <row r="51" spans="2:7">
      <c r="B51" s="28">
        <v>20</v>
      </c>
      <c r="C51" s="28" t="s">
        <v>107</v>
      </c>
      <c r="D51" s="29" t="s">
        <v>124</v>
      </c>
      <c r="E51" s="28" t="s">
        <v>85</v>
      </c>
      <c r="F51" s="32">
        <v>92</v>
      </c>
      <c r="G51" s="30">
        <v>91</v>
      </c>
    </row>
  </sheetData>
  <dataConsolidate/>
  <mergeCells count="2">
    <mergeCell ref="G2:J2"/>
    <mergeCell ref="E4:E9"/>
  </mergeCells>
  <phoneticPr fontId="1" type="noConversion"/>
  <conditionalFormatting sqref="G32:G51">
    <cfRule type="colorScale" priority="1">
      <colorScale>
        <cfvo type="num" val="70"/>
        <cfvo type="num" val="80"/>
        <cfvo type="num" val="90"/>
        <color rgb="FFFF0000"/>
        <color rgb="FFFFFF00"/>
        <color rgb="FF00B050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색상처리">
                <anchor moveWithCells="1" sizeWithCells="1">
                  <from>
                    <xdr:col>2</xdr:col>
                    <xdr:colOff>0</xdr:colOff>
                    <xdr:row>26</xdr:row>
                    <xdr:rowOff>0</xdr:rowOff>
                  </from>
                  <to>
                    <xdr:col>4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P18"/>
  <sheetViews>
    <sheetView tabSelected="1" workbookViewId="0">
      <selection activeCell="O10" sqref="O10"/>
    </sheetView>
  </sheetViews>
  <sheetFormatPr defaultRowHeight="16.5"/>
  <cols>
    <col min="1" max="1" width="2.375" style="1" customWidth="1"/>
    <col min="2" max="2" width="11.75" style="13" customWidth="1"/>
    <col min="3" max="4" width="9" style="13"/>
    <col min="5" max="7" width="9" style="14"/>
    <col min="8" max="8" width="9" style="13"/>
    <col min="9" max="9" width="16.125" style="15" customWidth="1"/>
    <col min="10" max="10" width="3.5" style="15" customWidth="1"/>
    <col min="11" max="11" width="9" style="15"/>
    <col min="12" max="12" width="9" style="14"/>
    <col min="13" max="13" width="9" style="1"/>
    <col min="14" max="14" width="17.875" style="1" customWidth="1"/>
    <col min="15" max="15" width="17.5" style="1" customWidth="1"/>
    <col min="16" max="16384" width="9" style="1"/>
  </cols>
  <sheetData>
    <row r="1" spans="1:16">
      <c r="A1"/>
      <c r="B1" s="43" t="s">
        <v>170</v>
      </c>
      <c r="C1" s="43"/>
      <c r="D1" s="43"/>
      <c r="E1" s="43"/>
      <c r="F1" s="43"/>
      <c r="G1" s="43"/>
      <c r="H1" s="43"/>
      <c r="I1"/>
      <c r="J1"/>
      <c r="K1"/>
      <c r="L1"/>
      <c r="M1"/>
      <c r="N1"/>
      <c r="O1"/>
      <c r="P1"/>
    </row>
    <row r="2" spans="1:16">
      <c r="A2"/>
      <c r="B2"/>
      <c r="C2"/>
      <c r="D2"/>
      <c r="E2"/>
      <c r="F2"/>
      <c r="G2" s="44"/>
      <c r="H2" s="44"/>
      <c r="I2"/>
      <c r="J2"/>
      <c r="K2"/>
      <c r="L2"/>
      <c r="M2"/>
      <c r="N2"/>
      <c r="O2"/>
      <c r="P2"/>
    </row>
    <row r="3" spans="1:16">
      <c r="A3"/>
      <c r="C3"/>
      <c r="D3"/>
      <c r="E3"/>
      <c r="F3"/>
      <c r="G3"/>
      <c r="H3"/>
      <c r="I3" s="44"/>
      <c r="J3" s="44"/>
      <c r="K3"/>
      <c r="L3"/>
      <c r="M3"/>
      <c r="N3"/>
      <c r="O3"/>
      <c r="P3"/>
    </row>
    <row r="4" spans="1:16">
      <c r="A4"/>
      <c r="B4" s="38" t="s">
        <v>171</v>
      </c>
      <c r="C4" s="38" t="s">
        <v>172</v>
      </c>
      <c r="D4" s="45" t="s">
        <v>173</v>
      </c>
      <c r="E4" s="38" t="s">
        <v>174</v>
      </c>
      <c r="F4" s="38" t="s">
        <v>175</v>
      </c>
      <c r="G4" s="46" t="s">
        <v>176</v>
      </c>
      <c r="H4" s="46" t="s">
        <v>177</v>
      </c>
      <c r="I4" s="38" t="s">
        <v>178</v>
      </c>
      <c r="J4" s="47"/>
      <c r="K4" s="46" t="s">
        <v>179</v>
      </c>
      <c r="L4" s="46" t="s">
        <v>176</v>
      </c>
      <c r="M4" s="46" t="s">
        <v>180</v>
      </c>
      <c r="N4" s="46" t="s">
        <v>178</v>
      </c>
      <c r="P4"/>
    </row>
    <row r="5" spans="1:16">
      <c r="A5"/>
      <c r="B5" s="6" t="s">
        <v>181</v>
      </c>
      <c r="C5" s="6" t="s">
        <v>182</v>
      </c>
      <c r="D5" s="6" t="s">
        <v>183</v>
      </c>
      <c r="E5" s="6" t="s">
        <v>184</v>
      </c>
      <c r="F5" s="6" t="s">
        <v>185</v>
      </c>
      <c r="G5" s="6">
        <v>20</v>
      </c>
      <c r="H5" s="6">
        <v>8</v>
      </c>
      <c r="I5" s="6" t="s">
        <v>186</v>
      </c>
      <c r="J5" s="44"/>
      <c r="K5" s="48" t="s">
        <v>187</v>
      </c>
      <c r="L5" s="48">
        <v>15</v>
      </c>
      <c r="M5" s="48">
        <v>5</v>
      </c>
      <c r="N5" s="48" t="s">
        <v>188</v>
      </c>
      <c r="P5"/>
    </row>
    <row r="6" spans="1:16">
      <c r="A6"/>
      <c r="B6" s="6"/>
      <c r="C6" s="6"/>
      <c r="D6" s="6"/>
      <c r="E6" s="6"/>
      <c r="F6" s="6"/>
      <c r="G6" s="6"/>
      <c r="H6" s="6"/>
      <c r="I6" s="6"/>
      <c r="J6" s="44"/>
      <c r="K6" s="48" t="s">
        <v>189</v>
      </c>
      <c r="L6" s="48">
        <v>20</v>
      </c>
      <c r="M6" s="48">
        <v>8</v>
      </c>
      <c r="N6" s="48" t="s">
        <v>190</v>
      </c>
      <c r="P6"/>
    </row>
    <row r="7" spans="1:16">
      <c r="A7"/>
      <c r="B7" s="6"/>
      <c r="C7" s="6"/>
      <c r="D7" s="6"/>
      <c r="E7" s="6"/>
      <c r="F7" s="6"/>
      <c r="G7" s="6"/>
      <c r="H7" s="6"/>
      <c r="I7" s="6"/>
      <c r="J7" s="44"/>
      <c r="K7" s="48" t="s">
        <v>191</v>
      </c>
      <c r="L7" s="48">
        <v>10</v>
      </c>
      <c r="M7" s="48">
        <v>3</v>
      </c>
      <c r="N7" s="48" t="s">
        <v>192</v>
      </c>
      <c r="P7"/>
    </row>
    <row r="8" spans="1:16">
      <c r="A8"/>
      <c r="B8" s="6"/>
      <c r="C8" s="6"/>
      <c r="D8" s="6"/>
      <c r="E8" s="6"/>
      <c r="F8" s="6"/>
      <c r="G8" s="6"/>
      <c r="H8" s="6"/>
      <c r="I8" s="6"/>
      <c r="J8" s="44"/>
      <c r="K8" s="48" t="s">
        <v>193</v>
      </c>
      <c r="L8" s="48">
        <v>12</v>
      </c>
      <c r="M8" s="48">
        <v>5</v>
      </c>
      <c r="N8" s="48" t="s">
        <v>194</v>
      </c>
      <c r="P8"/>
    </row>
    <row r="9" spans="1:16">
      <c r="A9"/>
      <c r="B9" s="6"/>
      <c r="C9" s="6"/>
      <c r="D9" s="6"/>
      <c r="E9" s="6"/>
      <c r="F9" s="6"/>
      <c r="G9" s="6"/>
      <c r="H9" s="6"/>
      <c r="I9" s="6"/>
      <c r="J9" s="44"/>
      <c r="K9" s="48" t="s">
        <v>195</v>
      </c>
      <c r="L9" s="48">
        <v>15</v>
      </c>
      <c r="M9" s="48">
        <v>7</v>
      </c>
      <c r="N9" s="48" t="s">
        <v>196</v>
      </c>
      <c r="P9"/>
    </row>
    <row r="10" spans="1:16">
      <c r="A10"/>
      <c r="B10" s="6"/>
      <c r="C10" s="6"/>
      <c r="D10" s="6"/>
      <c r="E10" s="6"/>
      <c r="F10" s="6"/>
      <c r="G10" s="6"/>
      <c r="H10" s="6"/>
      <c r="I10" s="6"/>
      <c r="J10" s="44"/>
      <c r="K10" s="48" t="s">
        <v>197</v>
      </c>
      <c r="L10" s="48">
        <v>18</v>
      </c>
      <c r="M10" s="48">
        <v>10</v>
      </c>
      <c r="N10" s="48" t="s">
        <v>198</v>
      </c>
      <c r="P10"/>
    </row>
    <row r="11" spans="1:16">
      <c r="A11"/>
      <c r="B11" s="6"/>
      <c r="C11" s="6"/>
      <c r="D11" s="6"/>
      <c r="E11" s="6"/>
      <c r="F11" s="6"/>
      <c r="G11" s="6"/>
      <c r="H11" s="6"/>
      <c r="I11" s="6"/>
      <c r="J11" s="44"/>
      <c r="K11" s="48" t="s">
        <v>199</v>
      </c>
      <c r="L11" s="48">
        <v>10</v>
      </c>
      <c r="M11" s="48">
        <v>6</v>
      </c>
      <c r="N11" s="48" t="s">
        <v>200</v>
      </c>
      <c r="P11"/>
    </row>
    <row r="12" spans="1:16">
      <c r="A12"/>
      <c r="B12" s="6"/>
      <c r="C12" s="6"/>
      <c r="D12" s="6"/>
      <c r="E12" s="6"/>
      <c r="F12" s="6"/>
      <c r="G12" s="6"/>
      <c r="H12" s="6"/>
      <c r="I12" s="6"/>
      <c r="J12" s="44"/>
      <c r="K12"/>
      <c r="L12"/>
      <c r="M12"/>
      <c r="N12"/>
      <c r="O12"/>
      <c r="P12"/>
    </row>
    <row r="13" spans="1:16">
      <c r="A13"/>
      <c r="B13" s="6"/>
      <c r="C13" s="6"/>
      <c r="D13" s="6"/>
      <c r="E13" s="6"/>
      <c r="F13" s="6"/>
      <c r="G13" s="6"/>
      <c r="H13" s="6"/>
      <c r="I13" s="6"/>
      <c r="J13" s="44"/>
      <c r="K13"/>
      <c r="L13"/>
      <c r="M13"/>
      <c r="N13"/>
      <c r="O13"/>
      <c r="P13"/>
    </row>
    <row r="14" spans="1:16">
      <c r="A14"/>
      <c r="B14" s="6"/>
      <c r="C14" s="6"/>
      <c r="D14" s="6"/>
      <c r="E14" s="6"/>
      <c r="F14" s="6"/>
      <c r="G14" s="6"/>
      <c r="H14" s="6"/>
      <c r="I14" s="6"/>
      <c r="J14" s="44"/>
      <c r="K14"/>
      <c r="L14"/>
      <c r="M14"/>
      <c r="N14"/>
      <c r="O14"/>
      <c r="P14"/>
    </row>
    <row r="15" spans="1:16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</row>
    <row r="16" spans="1:16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</row>
    <row r="17" spans="1:16">
      <c r="A17"/>
      <c r="B17" s="55">
        <v>44356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</row>
    <row r="18" spans="1:16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8" r:id="rId3" name="Cmd접수하기">
          <controlPr defaultSize="0" autoLine="0" r:id="rId4">
            <anchor moveWithCells="1">
              <from>
                <xdr:col>7</xdr:col>
                <xdr:colOff>504825</xdr:colOff>
                <xdr:row>0</xdr:row>
                <xdr:rowOff>66675</xdr:rowOff>
              </from>
              <to>
                <xdr:col>8</xdr:col>
                <xdr:colOff>942975</xdr:colOff>
                <xdr:row>2</xdr:row>
                <xdr:rowOff>9525</xdr:rowOff>
              </to>
            </anchor>
          </controlPr>
        </control>
      </mc:Choice>
      <mc:Fallback>
        <control shapeId="3078" r:id="rId3" name="Cmd접수하기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이름이 지정된 범위</vt:lpstr>
      </vt:variant>
      <vt:variant>
        <vt:i4>3</vt:i4>
      </vt:variant>
    </vt:vector>
  </HeadingPairs>
  <TitlesOfParts>
    <vt:vector size="10" baseType="lpstr">
      <vt:lpstr>기본작업-1</vt:lpstr>
      <vt:lpstr>계산작업</vt:lpstr>
      <vt:lpstr>분석작업-1</vt:lpstr>
      <vt:lpstr>분석작업-2</vt:lpstr>
      <vt:lpstr>기타작업-1</vt:lpstr>
      <vt:lpstr>기타작업-2</vt:lpstr>
      <vt:lpstr>기타작업-3</vt:lpstr>
      <vt:lpstr>'기본작업-1'!Criteria</vt:lpstr>
      <vt:lpstr>'기본작업-1'!Extract</vt:lpstr>
      <vt:lpstr>'기본작업-1'!Print_Titles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ican2</dc:creator>
  <cp:lastModifiedBy>아이티버팀</cp:lastModifiedBy>
  <cp:lastPrinted>2017-08-18T08:44:51Z</cp:lastPrinted>
  <dcterms:created xsi:type="dcterms:W3CDTF">2016-04-11T07:21:32Z</dcterms:created>
  <dcterms:modified xsi:type="dcterms:W3CDTF">2021-06-09T10:54:54Z</dcterms:modified>
</cp:coreProperties>
</file>